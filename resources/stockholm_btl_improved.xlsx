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Annual_Cashflow" sheetId="2" state="visible" r:id="rId4"/>
    <sheet name="Sensitivity" sheetId="3" state="visible" r:id="rId5"/>
    <sheet name="Total_Return" sheetId="4" state="visible" r:id="rId6"/>
    <sheet name="Loan_Paydown" sheetId="5" state="visible" r:id="rId7"/>
    <sheet name="Market_Contex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<sst xmlns="http://schemas.openxmlformats.org/spreadsheetml/2006/main" count="189" uniqueCount="178">
  <si>
    <t xml:space="preserve">Stockholm Buy-to-Let Investment Calculator  ·  Assumptions &amp; Inputs</t>
  </si>
  <si>
    <t xml:space="preserve">Blue = input  |  Black = formula  |  Green = cross-sheet link  |  Yellow background = key assumption</t>
  </si>
  <si>
    <t xml:space="preserve">A  ·  Property &amp; Financing</t>
  </si>
  <si>
    <t xml:space="preserve">Purchase Price (SEK)</t>
  </si>
  <si>
    <t xml:space="preserve">Source: Hemnet Group Feb 2026</t>
  </si>
  <si>
    <t xml:space="preserve">Loan Amount (SEK)</t>
  </si>
  <si>
    <t xml:space="preserve">Exceeds purchase price → high LTV; review</t>
  </si>
  <si>
    <t xml:space="preserve">Equity / Down-payment (SEK)</t>
  </si>
  <si>
    <t xml:space="preserve">Auto-calculated</t>
  </si>
  <si>
    <t xml:space="preserve">Loan-to-Value (LTV)</t>
  </si>
  <si>
    <t xml:space="preserve">Swedish banks typically cap at 85%</t>
  </si>
  <si>
    <t xml:space="preserve">Loan Term (years)</t>
  </si>
  <si>
    <t xml:space="preserve">Adjust for amortisation scenario</t>
  </si>
  <si>
    <t xml:space="preserve">Interest Rate – Base Case (%)</t>
  </si>
  <si>
    <t xml:space="preserve">Riksbank benchmark; source: Riksbank Mar 2026</t>
  </si>
  <si>
    <t xml:space="preserve">Interest Rate – Stress Case (%)</t>
  </si>
  <si>
    <t xml:space="preserve">Elevated scenario (+200 bps)</t>
  </si>
  <si>
    <t xml:space="preserve">Annual Principal Amortisation Rate (%)</t>
  </si>
  <si>
    <t xml:space="preserve">Typical Swedish amorteringskrav (2% on LTV &gt; 70%)</t>
  </si>
  <si>
    <t xml:space="preserve">B  ·  Rental Income</t>
  </si>
  <si>
    <t xml:space="preserve">Starting Monthly Rent – Low (SEK)</t>
  </si>
  <si>
    <t xml:space="preserve">Low market scenario; Qasa/Blocket 2025</t>
  </si>
  <si>
    <t xml:space="preserve">Starting Monthly Rent – Mid (SEK)</t>
  </si>
  <si>
    <t xml:space="preserve">Mid scenario; SvD / Qasa 2025</t>
  </si>
  <si>
    <t xml:space="preserve">Starting Monthly Rent – High (SEK)</t>
  </si>
  <si>
    <t xml:space="preserve">High / central Stockholm benchmark</t>
  </si>
  <si>
    <t xml:space="preserve">Annual Rent Growth Rate (%)</t>
  </si>
  <si>
    <t xml:space="preserve">CPI-linked; Swedish avg. 2015-2024 ≈ 3%</t>
  </si>
  <si>
    <t xml:space="preserve">Vacancy Allowance (% of gross rent)</t>
  </si>
  <si>
    <t xml:space="preserve">5% vacancy assumed (≈ 0.6 months/year)</t>
  </si>
  <si>
    <t xml:space="preserve">Annual Rent – Mid (SEK)</t>
  </si>
  <si>
    <t xml:space="preserve">Auto</t>
  </si>
  <si>
    <t xml:space="preserve">C  ·  Annual Operating Costs</t>
  </si>
  <si>
    <t xml:space="preserve">BRF Fee (SEK/month)</t>
  </si>
  <si>
    <t xml:space="preserve">HSB Stockholm BRF Barometer 2025 (~833 SEK/sqm/yr)</t>
  </si>
  <si>
    <t xml:space="preserve">Maintenance Reserve (SEK/year)</t>
  </si>
  <si>
    <t xml:space="preserve">~0.2% of property value; adjust to taste</t>
  </si>
  <si>
    <t xml:space="preserve">Property Insurance (SEK/year)</t>
  </si>
  <si>
    <t xml:space="preserve">Estimate; obtain actual quote</t>
  </si>
  <si>
    <t xml:space="preserve">Letting / Management Fee (% of rent)</t>
  </si>
  <si>
    <t xml:space="preserve">Typical Swedish letting agent 8-10%</t>
  </si>
  <si>
    <t xml:space="preserve">Other Annual Costs (SEK)</t>
  </si>
  <si>
    <t xml:space="preserve">E.g. council tax, unexpected repairs</t>
  </si>
  <si>
    <t xml:space="preserve">Total Annual OpEx – Mid (SEK)</t>
  </si>
  <si>
    <t xml:space="preserve">Sum of above at mid rent</t>
  </si>
  <si>
    <t xml:space="preserve">D  ·  Tax Assumptions (Sweden)</t>
  </si>
  <si>
    <t xml:space="preserve">Capital Gains Tax Rate on Sale (%)</t>
  </si>
  <si>
    <t xml:space="preserve">Swedish reavinstskatt on bostadsrätt = 22%</t>
  </si>
  <si>
    <t xml:space="preserve">Rental Income Tax Rate (%)</t>
  </si>
  <si>
    <t xml:space="preserve">Standard marginal rate; consult skatteverket</t>
  </si>
  <si>
    <t xml:space="preserve">Annual Schablonavdrag (SEK)</t>
  </si>
  <si>
    <t xml:space="preserve">Standard deduction on rental income</t>
  </si>
  <si>
    <t xml:space="preserve">E  ·  Market &amp; Exit Assumptions</t>
  </si>
  <si>
    <t xml:space="preserve">Apartment Size (sqm)</t>
  </si>
  <si>
    <t xml:space="preserve">Implied from purchase price &amp; Stockholm avg. 72,000 SEK/sqm</t>
  </si>
  <si>
    <t xml:space="preserve">Annual Property Appreciation (%)</t>
  </si>
  <si>
    <t xml:space="preserve">Stockholm apt. long-run real appreciation ~2-3%</t>
  </si>
  <si>
    <t xml:space="preserve">Holding Period (years)</t>
  </si>
  <si>
    <t xml:space="preserve">Used in total return &amp; exit value calc</t>
  </si>
  <si>
    <t xml:space="preserve">Exit Sale Costs (% of sale price)</t>
  </si>
  <si>
    <t xml:space="preserve">Agent fee ~2.5%</t>
  </si>
  <si>
    <t xml:space="preserve">Estimated Exit Value (SEK)</t>
  </si>
  <si>
    <t xml:space="preserve">Net Proceeds After Agent Fee (SEK)</t>
  </si>
  <si>
    <t xml:space="preserve">Capital Gain (SEK)</t>
  </si>
  <si>
    <t xml:space="preserve">Gross gain; tax below</t>
  </si>
  <si>
    <t xml:space="preserve">Tax on Capital Gain (SEK)</t>
  </si>
  <si>
    <t xml:space="preserve">22% reavinstskatt if gain &gt; 0</t>
  </si>
  <si>
    <t xml:space="preserve">After-Tax Capital Gain (SEK)</t>
  </si>
  <si>
    <t xml:space="preserve">Net equity release on exit</t>
  </si>
  <si>
    <t xml:space="preserve">Annual Cash-Flow Model  ·  10-Year Projection  (Mid-Rent Scenario @ Base Interest Rate)</t>
  </si>
  <si>
    <t xml:space="preserve">All figures in SEK.  Formulas reference Assumptions sheet.  Sensitivity scenarios on 'Sensitivity' tab.</t>
  </si>
  <si>
    <t xml:space="preserve">Year</t>
  </si>
  <si>
    <t xml:space="preserve">Gross Rent
(SEK/yr)</t>
  </si>
  <si>
    <t xml:space="preserve">Vacancy
Loss</t>
  </si>
  <si>
    <t xml:space="preserve">Net Rent
(SEK/yr)</t>
  </si>
  <si>
    <t xml:space="preserve">Annual
Interest</t>
  </si>
  <si>
    <t xml:space="preserve">Principal
Amort.</t>
  </si>
  <si>
    <t xml:space="preserve">BRF Fee
(SEK/yr)</t>
  </si>
  <si>
    <t xml:space="preserve">Mgmt Fee
(SEK/yr)</t>
  </si>
  <si>
    <t xml:space="preserve">Maint. +
Insurance</t>
  </si>
  <si>
    <t xml:space="preserve">Total
OpEx</t>
  </si>
  <si>
    <t xml:space="preserve">Pre-Tax
Cash Profit</t>
  </si>
  <si>
    <t xml:space="preserve">Tax on
Rent</t>
  </si>
  <si>
    <t xml:space="preserve">After-Tax
Cash Profit</t>
  </si>
  <si>
    <t xml:space="preserve">10-Year Totals</t>
  </si>
  <si>
    <t xml:space="preserve">Key Metrics (Mid Rent / Base Rate)</t>
  </si>
  <si>
    <t xml:space="preserve">Gross Yield (%)</t>
  </si>
  <si>
    <t xml:space="preserve">Net Yield – pre-tax (%)</t>
  </si>
  <si>
    <t xml:space="preserve">Debt Service Coverage Ratio</t>
  </si>
  <si>
    <t xml:space="preserve">Annual After-Tax Profit Yr 1</t>
  </si>
  <si>
    <t xml:space="preserve">10-Year Cumulative After-Tax</t>
  </si>
  <si>
    <t xml:space="preserve">Sensitivity Analysis  ·  Annual After-Tax Cash Profit (SEK/year)  ·  Year 1</t>
  </si>
  <si>
    <t xml:space="preserve">Rent ↓  /  Rate →</t>
  </si>
  <si>
    <t xml:space="preserve">2.5% (Base)</t>
  </si>
  <si>
    <t xml:space="preserve">3.5% (Mid)</t>
  </si>
  <si>
    <t xml:space="preserve">4.5% (Stress)</t>
  </si>
  <si>
    <t xml:space="preserve">Low (12,000)</t>
  </si>
  <si>
    <t xml:space="preserve">Mid (14,500)</t>
  </si>
  <si>
    <t xml:space="preserve">High (17,000)</t>
  </si>
  <si>
    <t xml:space="preserve">Note: Values are hardcoded Year-1 estimates using model assumptions. Green = positive cashflow; amber = marginal; red = negative.</t>
  </si>
  <si>
    <t xml:space="preserve">Break-Even Rent (SEK/month) Required to Cover All Costs</t>
  </si>
  <si>
    <t xml:space="preserve">Interest Rate</t>
  </si>
  <si>
    <t xml:space="preserve">Break-Even Rent (SEK/mo)</t>
  </si>
  <si>
    <t xml:space="preserve">Break-Even vs. Mid Market</t>
  </si>
  <si>
    <t xml:space="preserve">Total Return Analysis  ·  10-Year Hold  ·  Mid Rent / Base Rate</t>
  </si>
  <si>
    <t xml:space="preserve">INCOME RETURN</t>
  </si>
  <si>
    <t xml:space="preserve">Cumulative After-Tax Cash Profit (10 yrs)</t>
  </si>
  <si>
    <t xml:space="preserve">CAPITAL RETURN</t>
  </si>
  <si>
    <t xml:space="preserve">Less: Agent Fee</t>
  </si>
  <si>
    <t xml:space="preserve">Less: Outstanding Loan Balance</t>
  </si>
  <si>
    <t xml:space="preserve">Less: Tax on Capital Gain</t>
  </si>
  <si>
    <t xml:space="preserve">Net Capital Proceeds</t>
  </si>
  <si>
    <t xml:space="preserve">Initial Equity Invested</t>
  </si>
  <si>
    <t xml:space="preserve">Net Capital Gain on Equity</t>
  </si>
  <si>
    <t xml:space="preserve">TOTAL RETURN (SEK)</t>
  </si>
  <si>
    <t xml:space="preserve">Equity Multiple (x)</t>
  </si>
  <si>
    <t xml:space="preserve">Annualised Return on Equity (IRR approx)</t>
  </si>
  <si>
    <t xml:space="preserve">Loan Paydown Schedule  ·  180-Month Amortisation  ·  Base Rate</t>
  </si>
  <si>
    <t xml:space="preserve">Month</t>
  </si>
  <si>
    <t xml:space="preserve">Opening Balance
(SEK)</t>
  </si>
  <si>
    <t xml:space="preserve">Interest
(SEK)</t>
  </si>
  <si>
    <t xml:space="preserve">Principal
(SEK)</t>
  </si>
  <si>
    <t xml:space="preserve">Total Payment
(SEK)</t>
  </si>
  <si>
    <t xml:space="preserve">Closing Balance
(SEK)</t>
  </si>
  <si>
    <t xml:space="preserve">Cum. Interest
(SEK)</t>
  </si>
  <si>
    <t xml:space="preserve">Cum. Principal
(SEK)</t>
  </si>
  <si>
    <t xml:space="preserve">Stockholm Market Benchmarks &amp; Regulatory Context</t>
  </si>
  <si>
    <t xml:space="preserve">Metric</t>
  </si>
  <si>
    <t xml:space="preserve">Value</t>
  </si>
  <si>
    <t xml:space="preserve">Unit</t>
  </si>
  <si>
    <t xml:space="preserve">Notes / Source</t>
  </si>
  <si>
    <t xml:space="preserve">Avg. apt price – Greater Stockholm</t>
  </si>
  <si>
    <t xml:space="preserve">72,000</t>
  </si>
  <si>
    <t xml:space="preserve">SEK/sqm</t>
  </si>
  <si>
    <t xml:space="preserve">Hemnet Group, Feb 2026</t>
  </si>
  <si>
    <t xml:space="preserve">Avg. apt price – Inner City</t>
  </si>
  <si>
    <t xml:space="preserve">105,000–130,000</t>
  </si>
  <si>
    <t xml:space="preserve">Mäklarstatistik, Q4 2025</t>
  </si>
  <si>
    <t xml:space="preserve">Market rent – Low</t>
  </si>
  <si>
    <t xml:space="preserve">12,000</t>
  </si>
  <si>
    <t xml:space="preserve">SEK/mo</t>
  </si>
  <si>
    <t xml:space="preserve">Blocket/Qasa entry-level, 2025</t>
  </si>
  <si>
    <t xml:space="preserve">Market rent – Mid</t>
  </si>
  <si>
    <t xml:space="preserve">14,500</t>
  </si>
  <si>
    <t xml:space="preserve">Qasa midpoint, SvD 2025</t>
  </si>
  <si>
    <t xml:space="preserve">Market rent – High</t>
  </si>
  <si>
    <t xml:space="preserve">17,000</t>
  </si>
  <si>
    <t xml:space="preserve">Central Stockholm premium, 2025</t>
  </si>
  <si>
    <t xml:space="preserve">Average BRF fee</t>
  </si>
  <si>
    <t xml:space="preserve">833</t>
  </si>
  <si>
    <t xml:space="preserve">SEK/sqm/yr</t>
  </si>
  <si>
    <t xml:space="preserve">HSB BRF Barometer 2025</t>
  </si>
  <si>
    <t xml:space="preserve">Riksbank policy rate</t>
  </si>
  <si>
    <t xml:space="preserve">2.25%</t>
  </si>
  <si>
    <t xml:space="preserve">Riksbank, March 2026 (approx.)</t>
  </si>
  <si>
    <t xml:space="preserve">Swedish mortgage rate (avg)</t>
  </si>
  <si>
    <t xml:space="preserve">3.5–4.0%</t>
  </si>
  <si>
    <t xml:space="preserve">SCB, Q1 2026</t>
  </si>
  <si>
    <t xml:space="preserve">Capital gains tax (bostadsrätt)</t>
  </si>
  <si>
    <t xml:space="preserve">22%</t>
  </si>
  <si>
    <t xml:space="preserve">Skatteverket reavinstskatt</t>
  </si>
  <si>
    <t xml:space="preserve">Schablonavdrag (rental deduction)</t>
  </si>
  <si>
    <t xml:space="preserve">40,000</t>
  </si>
  <si>
    <t xml:space="preserve">SEK/yr</t>
  </si>
  <si>
    <t xml:space="preserve">Skatteverket 2026</t>
  </si>
  <si>
    <t xml:space="preserve">Amorteringskrav (LTV &gt; 70%)</t>
  </si>
  <si>
    <t xml:space="preserve">2%/yr</t>
  </si>
  <si>
    <t xml:space="preserve">Finansinspektionen 2024</t>
  </si>
  <si>
    <t xml:space="preserve">Amorteringskrav (LTV &gt; 85%)</t>
  </si>
  <si>
    <t xml:space="preserve">3%/yr</t>
  </si>
  <si>
    <t xml:space="preserve">Stämpelskatt (stamp duty)</t>
  </si>
  <si>
    <t xml:space="preserve">1.5%</t>
  </si>
  <si>
    <t xml:space="preserve">of price</t>
  </si>
  <si>
    <t xml:space="preserve">On bostadsrätt purchase</t>
  </si>
  <si>
    <t xml:space="preserve">Long-run apt. price growth</t>
  </si>
  <si>
    <t xml:space="preserve">2–3%</t>
  </si>
  <si>
    <t xml:space="preserve">%/yr</t>
  </si>
  <si>
    <t xml:space="preserve">Riksbank/SEB historical nominal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</si>
</sst>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;\(0.0%\);\-"/>
    <numFmt numFmtId="167" formatCode="0"/>
    <numFmt numFmtId="168" formatCode="0.00%;\(0.00%\);\-"/>
    <numFmt numFmtId="169" formatCode="0.0"/>
    <numFmt numFmtId="170" formatCode="0.00\x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66666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10"/>
      <color rgb="FF008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0F0F0"/>
        <bgColor rgb="FFEAF2FB"/>
      </patternFill>
    </fill>
    <fill>
      <patternFill patternType="solid">
        <fgColor rgb="FF2E5BA8"/>
        <bgColor rgb="FF3366FF"/>
      </patternFill>
    </fill>
    <fill>
      <patternFill patternType="solid">
        <fgColor rgb="FFFFFF99"/>
        <bgColor rgb="FFFFFFC0"/>
      </patternFill>
    </fill>
    <fill>
      <patternFill patternType="solid">
        <fgColor rgb="FFFFFFC0"/>
        <bgColor rgb="FFFFFF99"/>
      </patternFill>
    </fill>
    <fill>
      <patternFill patternType="solid">
        <fgColor rgb="FFFFFFFF"/>
        <bgColor rgb="FFF0F8FF"/>
      </patternFill>
    </fill>
    <fill>
      <patternFill patternType="solid">
        <fgColor rgb="FFF0F8FF"/>
        <bgColor rgb="FFEAF2FB"/>
      </patternFill>
    </fill>
    <fill>
      <patternFill patternType="solid">
        <fgColor rgb="FFC5D8F0"/>
        <bgColor rgb="FFC0C0C0"/>
      </patternFill>
    </fill>
    <fill>
      <patternFill patternType="solid">
        <fgColor rgb="FFEAF2FB"/>
        <bgColor rgb="FFF0F0F0"/>
      </patternFill>
    </fill>
    <fill>
      <patternFill patternType="solid">
        <fgColor rgb="FFFADBD8"/>
        <bgColor rgb="FFF0F0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4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6" fontId="14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4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6" fillId="11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4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bottom" textRotation="0" wrapText="false" indent="2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bottom" textRotation="0" wrapText="false" indent="2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bottom" textRotation="0" wrapText="false" indent="2" shrinkToFit="false"/>
      <protection locked="true" hidden="false"/>
    </xf>
    <xf numFmtId="165" fontId="14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4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7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7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0"/>
      <rgbColor rgb="FFEAF2FB"/>
      <rgbColor rgb="FF660066"/>
      <rgbColor rgb="FFFF8080"/>
      <rgbColor rgb="FF2E5BA8"/>
      <rgbColor rgb="FFC5D8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8FF"/>
      <rgbColor rgb="FFF0F0F0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1A1A1A"/>
      <rgbColor rgb="FFC0392B"/>
      <rgbColor rgb="FF993366"/>
      <rgbColor rgb="FF555555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2"/>
    <col collapsed="false" customWidth="true" hidden="false" outlineLevel="0" max="4" min="4" style="0" width="18"/>
    <col collapsed="false" customWidth="true" hidden="false" outlineLevel="0" max="5" min="5" style="0" width="60"/>
    <col collapsed="false" customWidth="true" hidden="false" outlineLevel="0" max="8" min="6" style="0" width="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8" hidden="false" customHeight="true" outlineLevel="0" collapsed="false">
      <c r="B4" s="3" t="s">
        <v>2</v>
      </c>
      <c r="C4" s="3"/>
      <c r="D4" s="3"/>
      <c r="E4" s="3"/>
      <c r="F4" s="3"/>
      <c r="G4" s="3"/>
      <c r="H4" s="3"/>
    </row>
    <row r="5" customFormat="false" ht="16.5" hidden="false" customHeight="true" outlineLevel="0" collapsed="false">
      <c r="B5" s="4" t="s">
        <v>3</v>
      </c>
      <c r="D5" s="5" t="n">
        <v>3000000</v>
      </c>
      <c r="E5" s="6" t="s">
        <v>4</v>
      </c>
      <c r="F5" s="6"/>
      <c r="G5" s="6"/>
      <c r="H5" s="6"/>
    </row>
    <row r="6" customFormat="false" ht="16.5" hidden="false" customHeight="true" outlineLevel="0" collapsed="false">
      <c r="B6" s="4" t="s">
        <v>5</v>
      </c>
      <c r="D6" s="5" t="n">
        <v>3500000</v>
      </c>
      <c r="E6" s="6" t="s">
        <v>6</v>
      </c>
      <c r="F6" s="6"/>
      <c r="G6" s="6"/>
      <c r="H6" s="6"/>
    </row>
    <row r="7" customFormat="false" ht="16.5" hidden="false" customHeight="true" outlineLevel="0" collapsed="false">
      <c r="B7" s="7" t="s">
        <v>7</v>
      </c>
      <c r="D7" s="8" t="n">
        <f aca="false">D6-D5</f>
        <v>500000</v>
      </c>
      <c r="E7" s="9" t="s">
        <v>8</v>
      </c>
      <c r="F7" s="9"/>
      <c r="G7" s="9"/>
      <c r="H7" s="9"/>
    </row>
    <row r="8" customFormat="false" ht="16.5" hidden="false" customHeight="true" outlineLevel="0" collapsed="false">
      <c r="B8" s="7" t="s">
        <v>9</v>
      </c>
      <c r="D8" s="10" t="n">
        <f aca="false">D6/D5</f>
        <v>1.16666666666667</v>
      </c>
      <c r="E8" s="9" t="s">
        <v>10</v>
      </c>
      <c r="F8" s="9"/>
      <c r="G8" s="9"/>
      <c r="H8" s="9"/>
    </row>
    <row r="9" customFormat="false" ht="16.5" hidden="false" customHeight="true" outlineLevel="0" collapsed="false">
      <c r="B9" s="7" t="s">
        <v>11</v>
      </c>
      <c r="D9" s="11" t="n">
        <v>30</v>
      </c>
      <c r="E9" s="9" t="s">
        <v>12</v>
      </c>
      <c r="F9" s="9"/>
      <c r="G9" s="9"/>
      <c r="H9" s="9"/>
    </row>
    <row r="10" customFormat="false" ht="16.5" hidden="false" customHeight="true" outlineLevel="0" collapsed="false">
      <c r="B10" s="4" t="s">
        <v>13</v>
      </c>
      <c r="D10" s="12" t="n">
        <v>0.025</v>
      </c>
      <c r="E10" s="6" t="s">
        <v>14</v>
      </c>
      <c r="F10" s="6"/>
      <c r="G10" s="6"/>
      <c r="H10" s="6"/>
    </row>
    <row r="11" customFormat="false" ht="16.5" hidden="false" customHeight="true" outlineLevel="0" collapsed="false">
      <c r="B11" s="4" t="s">
        <v>15</v>
      </c>
      <c r="D11" s="12" t="n">
        <v>0.045</v>
      </c>
      <c r="E11" s="6" t="s">
        <v>16</v>
      </c>
      <c r="F11" s="6"/>
      <c r="G11" s="6"/>
      <c r="H11" s="6"/>
    </row>
    <row r="12" customFormat="false" ht="16.5" hidden="false" customHeight="true" outlineLevel="0" collapsed="false">
      <c r="B12" s="7" t="s">
        <v>17</v>
      </c>
      <c r="D12" s="13" t="n">
        <v>0.02</v>
      </c>
      <c r="E12" s="9" t="s">
        <v>18</v>
      </c>
      <c r="F12" s="9"/>
      <c r="G12" s="9"/>
      <c r="H12" s="9"/>
    </row>
    <row r="13" customFormat="false" ht="16.5" hidden="false" customHeight="true" outlineLevel="0" collapsed="false"/>
    <row r="14" customFormat="false" ht="16.5" hidden="false" customHeight="true" outlineLevel="0" collapsed="false">
      <c r="B14" s="3" t="s">
        <v>19</v>
      </c>
      <c r="C14" s="3"/>
      <c r="D14" s="3"/>
      <c r="E14" s="3"/>
      <c r="F14" s="3"/>
      <c r="G14" s="3"/>
      <c r="H14" s="3"/>
    </row>
    <row r="15" customFormat="false" ht="16.5" hidden="false" customHeight="true" outlineLevel="0" collapsed="false">
      <c r="B15" s="7" t="s">
        <v>20</v>
      </c>
      <c r="D15" s="14" t="n">
        <v>12000</v>
      </c>
      <c r="E15" s="9" t="s">
        <v>21</v>
      </c>
      <c r="F15" s="9"/>
      <c r="G15" s="9"/>
      <c r="H15" s="9"/>
    </row>
    <row r="16" customFormat="false" ht="16.5" hidden="false" customHeight="true" outlineLevel="0" collapsed="false">
      <c r="B16" s="4" t="s">
        <v>22</v>
      </c>
      <c r="D16" s="5" t="n">
        <v>14500</v>
      </c>
      <c r="E16" s="6" t="s">
        <v>23</v>
      </c>
      <c r="F16" s="6"/>
      <c r="G16" s="6"/>
      <c r="H16" s="6"/>
    </row>
    <row r="17" customFormat="false" ht="16.5" hidden="false" customHeight="true" outlineLevel="0" collapsed="false">
      <c r="B17" s="7" t="s">
        <v>24</v>
      </c>
      <c r="D17" s="14" t="n">
        <v>17000</v>
      </c>
      <c r="E17" s="9" t="s">
        <v>25</v>
      </c>
      <c r="F17" s="9"/>
      <c r="G17" s="9"/>
      <c r="H17" s="9"/>
    </row>
    <row r="18" customFormat="false" ht="16.5" hidden="false" customHeight="true" outlineLevel="0" collapsed="false">
      <c r="B18" s="4" t="s">
        <v>26</v>
      </c>
      <c r="D18" s="12" t="n">
        <v>0.03</v>
      </c>
      <c r="E18" s="6" t="s">
        <v>27</v>
      </c>
      <c r="F18" s="6"/>
      <c r="G18" s="6"/>
      <c r="H18" s="6"/>
    </row>
    <row r="19" customFormat="false" ht="16.5" hidden="false" customHeight="true" outlineLevel="0" collapsed="false">
      <c r="B19" s="7" t="s">
        <v>28</v>
      </c>
      <c r="D19" s="13" t="n">
        <v>0.05</v>
      </c>
      <c r="E19" s="9" t="s">
        <v>29</v>
      </c>
      <c r="F19" s="9"/>
      <c r="G19" s="9"/>
      <c r="H19" s="9"/>
    </row>
    <row r="20" customFormat="false" ht="16.5" hidden="false" customHeight="true" outlineLevel="0" collapsed="false">
      <c r="B20" s="7" t="s">
        <v>30</v>
      </c>
      <c r="D20" s="8" t="n">
        <f aca="false">D16*12</f>
        <v>174000</v>
      </c>
      <c r="E20" s="9" t="s">
        <v>31</v>
      </c>
      <c r="F20" s="9"/>
      <c r="G20" s="9"/>
      <c r="H20" s="9"/>
    </row>
    <row r="21" customFormat="false" ht="16.5" hidden="false" customHeight="true" outlineLevel="0" collapsed="false"/>
    <row r="22" customFormat="false" ht="16.5" hidden="false" customHeight="true" outlineLevel="0" collapsed="false">
      <c r="B22" s="3" t="s">
        <v>32</v>
      </c>
      <c r="C22" s="3"/>
      <c r="D22" s="3"/>
      <c r="E22" s="3"/>
      <c r="F22" s="3"/>
      <c r="G22" s="3"/>
      <c r="H22" s="3"/>
    </row>
    <row r="23" customFormat="false" ht="16.5" hidden="false" customHeight="true" outlineLevel="0" collapsed="false">
      <c r="B23" s="4" t="s">
        <v>33</v>
      </c>
      <c r="D23" s="5" t="n">
        <v>2000</v>
      </c>
      <c r="E23" s="6" t="s">
        <v>34</v>
      </c>
      <c r="F23" s="6"/>
      <c r="G23" s="6"/>
      <c r="H23" s="6"/>
    </row>
    <row r="24" customFormat="false" ht="16.5" hidden="false" customHeight="true" outlineLevel="0" collapsed="false">
      <c r="B24" s="7" t="s">
        <v>35</v>
      </c>
      <c r="D24" s="14" t="n">
        <v>6000</v>
      </c>
      <c r="E24" s="9" t="s">
        <v>36</v>
      </c>
      <c r="F24" s="9"/>
      <c r="G24" s="9"/>
      <c r="H24" s="9"/>
    </row>
    <row r="25" customFormat="false" ht="16.5" hidden="false" customHeight="true" outlineLevel="0" collapsed="false">
      <c r="B25" s="7" t="s">
        <v>37</v>
      </c>
      <c r="D25" s="14" t="n">
        <v>3600</v>
      </c>
      <c r="E25" s="9" t="s">
        <v>38</v>
      </c>
      <c r="F25" s="9"/>
      <c r="G25" s="9"/>
      <c r="H25" s="9"/>
    </row>
    <row r="26" customFormat="false" ht="16.5" hidden="false" customHeight="true" outlineLevel="0" collapsed="false">
      <c r="B26" s="7" t="s">
        <v>39</v>
      </c>
      <c r="D26" s="13" t="n">
        <v>0.08</v>
      </c>
      <c r="E26" s="9" t="s">
        <v>40</v>
      </c>
      <c r="F26" s="9"/>
      <c r="G26" s="9"/>
      <c r="H26" s="9"/>
    </row>
    <row r="27" customFormat="false" ht="16.5" hidden="false" customHeight="true" outlineLevel="0" collapsed="false">
      <c r="B27" s="7" t="s">
        <v>41</v>
      </c>
      <c r="D27" s="14" t="n">
        <v>0</v>
      </c>
      <c r="E27" s="9" t="s">
        <v>42</v>
      </c>
      <c r="F27" s="9"/>
      <c r="G27" s="9"/>
      <c r="H27" s="9"/>
    </row>
    <row r="28" customFormat="false" ht="16.5" hidden="false" customHeight="true" outlineLevel="0" collapsed="false">
      <c r="B28" s="7" t="s">
        <v>43</v>
      </c>
      <c r="D28" s="15" t="n">
        <f aca="false">D23*12+D24+D25+D16*12*D26+D27</f>
        <v>47520</v>
      </c>
      <c r="E28" s="9" t="s">
        <v>44</v>
      </c>
      <c r="F28" s="9"/>
      <c r="G28" s="9"/>
      <c r="H28" s="9"/>
    </row>
    <row r="29" customFormat="false" ht="16.5" hidden="false" customHeight="true" outlineLevel="0" collapsed="false"/>
    <row r="30" customFormat="false" ht="16.5" hidden="false" customHeight="true" outlineLevel="0" collapsed="false">
      <c r="B30" s="3" t="s">
        <v>45</v>
      </c>
      <c r="C30" s="3"/>
      <c r="D30" s="3"/>
      <c r="E30" s="3"/>
      <c r="F30" s="3"/>
      <c r="G30" s="3"/>
      <c r="H30" s="3"/>
    </row>
    <row r="31" customFormat="false" ht="16.5" hidden="false" customHeight="true" outlineLevel="0" collapsed="false">
      <c r="B31" s="7" t="s">
        <v>46</v>
      </c>
      <c r="D31" s="13" t="n">
        <v>0.22</v>
      </c>
      <c r="E31" s="9" t="s">
        <v>47</v>
      </c>
      <c r="F31" s="9"/>
      <c r="G31" s="9"/>
      <c r="H31" s="9"/>
    </row>
    <row r="32" customFormat="false" ht="16.5" hidden="false" customHeight="true" outlineLevel="0" collapsed="false">
      <c r="B32" s="7" t="s">
        <v>48</v>
      </c>
      <c r="D32" s="13" t="n">
        <v>0.3</v>
      </c>
      <c r="E32" s="9" t="s">
        <v>49</v>
      </c>
      <c r="F32" s="9"/>
      <c r="G32" s="9"/>
      <c r="H32" s="9"/>
    </row>
    <row r="33" customFormat="false" ht="16.5" hidden="false" customHeight="true" outlineLevel="0" collapsed="false">
      <c r="B33" s="7" t="s">
        <v>50</v>
      </c>
      <c r="D33" s="14" t="n">
        <v>40000</v>
      </c>
      <c r="E33" s="9" t="s">
        <v>51</v>
      </c>
      <c r="F33" s="9"/>
      <c r="G33" s="9"/>
      <c r="H33" s="9"/>
    </row>
    <row r="34" customFormat="false" ht="16.5" hidden="false" customHeight="true" outlineLevel="0" collapsed="false"/>
    <row r="35" customFormat="false" ht="16.5" hidden="false" customHeight="true" outlineLevel="0" collapsed="false">
      <c r="B35" s="3" t="s">
        <v>52</v>
      </c>
      <c r="C35" s="3"/>
      <c r="D35" s="3"/>
      <c r="E35" s="3"/>
      <c r="F35" s="3"/>
      <c r="G35" s="3"/>
      <c r="H35" s="3"/>
    </row>
    <row r="36" customFormat="false" ht="16.5" hidden="false" customHeight="true" outlineLevel="0" collapsed="false">
      <c r="B36" s="7" t="s">
        <v>53</v>
      </c>
      <c r="D36" s="16" t="n">
        <f aca="false">D5/72000</f>
        <v>41.6666666666667</v>
      </c>
      <c r="E36" s="9" t="s">
        <v>54</v>
      </c>
      <c r="F36" s="9"/>
      <c r="G36" s="9"/>
      <c r="H36" s="9"/>
    </row>
    <row r="37" customFormat="false" ht="16.5" hidden="false" customHeight="true" outlineLevel="0" collapsed="false">
      <c r="B37" s="4" t="s">
        <v>55</v>
      </c>
      <c r="D37" s="12" t="n">
        <v>0.03</v>
      </c>
      <c r="E37" s="6" t="s">
        <v>56</v>
      </c>
      <c r="F37" s="6"/>
      <c r="G37" s="6"/>
      <c r="H37" s="6"/>
    </row>
    <row r="38" customFormat="false" ht="16.5" hidden="false" customHeight="true" outlineLevel="0" collapsed="false">
      <c r="B38" s="4" t="s">
        <v>57</v>
      </c>
      <c r="D38" s="17" t="n">
        <v>10</v>
      </c>
      <c r="E38" s="6" t="s">
        <v>58</v>
      </c>
      <c r="F38" s="6"/>
      <c r="G38" s="6"/>
      <c r="H38" s="6"/>
    </row>
    <row r="39" customFormat="false" ht="16.5" hidden="false" customHeight="true" outlineLevel="0" collapsed="false">
      <c r="B39" s="7" t="s">
        <v>59</v>
      </c>
      <c r="D39" s="13" t="n">
        <v>0.025</v>
      </c>
      <c r="E39" s="9" t="s">
        <v>60</v>
      </c>
      <c r="F39" s="9"/>
      <c r="G39" s="9"/>
      <c r="H39" s="9"/>
    </row>
    <row r="40" customFormat="false" ht="16.5" hidden="false" customHeight="true" outlineLevel="0" collapsed="false">
      <c r="B40" s="7" t="s">
        <v>61</v>
      </c>
      <c r="D40" s="8" t="n">
        <f aca="false">D5*(1+D37)^D38</f>
        <v>4031749.13803237</v>
      </c>
      <c r="E40" s="9" t="s">
        <v>8</v>
      </c>
      <c r="F40" s="9"/>
      <c r="G40" s="9"/>
      <c r="H40" s="9"/>
    </row>
    <row r="41" customFormat="false" ht="16.5" hidden="false" customHeight="true" outlineLevel="0" collapsed="false">
      <c r="B41" s="7" t="s">
        <v>62</v>
      </c>
      <c r="D41" s="8" t="n">
        <f aca="false">D40*(1-D39)</f>
        <v>3930955.40958156</v>
      </c>
      <c r="E41" s="9" t="s">
        <v>8</v>
      </c>
      <c r="F41" s="9"/>
      <c r="G41" s="9"/>
      <c r="H41" s="9"/>
    </row>
    <row r="42" customFormat="false" ht="16.5" hidden="false" customHeight="true" outlineLevel="0" collapsed="false">
      <c r="B42" s="7" t="s">
        <v>63</v>
      </c>
      <c r="D42" s="8" t="n">
        <f aca="false">D41-D5</f>
        <v>930955.409581557</v>
      </c>
      <c r="E42" s="9" t="s">
        <v>64</v>
      </c>
      <c r="F42" s="9"/>
      <c r="G42" s="9"/>
      <c r="H42" s="9"/>
    </row>
    <row r="43" customFormat="false" ht="16.5" hidden="false" customHeight="true" outlineLevel="0" collapsed="false">
      <c r="B43" s="7" t="s">
        <v>65</v>
      </c>
      <c r="D43" s="8" t="n">
        <f aca="false">MAX(0,D42)*D31</f>
        <v>204810.190107943</v>
      </c>
      <c r="E43" s="9" t="s">
        <v>66</v>
      </c>
      <c r="F43" s="9"/>
      <c r="G43" s="9"/>
      <c r="H43" s="9"/>
    </row>
    <row r="44" customFormat="false" ht="16.5" hidden="false" customHeight="true" outlineLevel="0" collapsed="false">
      <c r="B44" s="7" t="s">
        <v>67</v>
      </c>
      <c r="D44" s="8" t="n">
        <f aca="false">D42-D43</f>
        <v>726145.219473615</v>
      </c>
      <c r="E44" s="9" t="s">
        <v>68</v>
      </c>
      <c r="F44" s="9"/>
      <c r="G44" s="9"/>
      <c r="H44" s="9"/>
    </row>
  </sheetData>
  <mergeCells count="39">
    <mergeCell ref="A1:H1"/>
    <mergeCell ref="A2:H2"/>
    <mergeCell ref="B4:H4"/>
    <mergeCell ref="E5:H5"/>
    <mergeCell ref="E6:H6"/>
    <mergeCell ref="E7:H7"/>
    <mergeCell ref="E8:H8"/>
    <mergeCell ref="E9:H9"/>
    <mergeCell ref="E10:H10"/>
    <mergeCell ref="E11:H11"/>
    <mergeCell ref="E12:H12"/>
    <mergeCell ref="B14:H14"/>
    <mergeCell ref="E15:H15"/>
    <mergeCell ref="E16:H16"/>
    <mergeCell ref="E17:H17"/>
    <mergeCell ref="E18:H18"/>
    <mergeCell ref="E19:H19"/>
    <mergeCell ref="E20:H20"/>
    <mergeCell ref="B22:H22"/>
    <mergeCell ref="E23:H23"/>
    <mergeCell ref="E24:H24"/>
    <mergeCell ref="E25:H25"/>
    <mergeCell ref="E26:H26"/>
    <mergeCell ref="E27:H27"/>
    <mergeCell ref="E28:H28"/>
    <mergeCell ref="B30:H30"/>
    <mergeCell ref="E31:H31"/>
    <mergeCell ref="E32:H32"/>
    <mergeCell ref="E33:H33"/>
    <mergeCell ref="B35:H35"/>
    <mergeCell ref="E36:H36"/>
    <mergeCell ref="E37:H37"/>
    <mergeCell ref="E38:H38"/>
    <mergeCell ref="E39:H39"/>
    <mergeCell ref="E40:H40"/>
    <mergeCell ref="E41:H41"/>
    <mergeCell ref="E42:H42"/>
    <mergeCell ref="E43:H43"/>
    <mergeCell ref="E44:H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13" min="3" style="0" width="14"/>
    <col collapsed="false" customWidth="true" hidden="false" outlineLevel="0" max="14" min="14" style="0" width="2"/>
  </cols>
  <sheetData>
    <row r="1" customFormat="false" ht="30" hidden="false" customHeight="true" outlineLevel="0" collapsed="false">
      <c r="A1" s="18" t="s">
        <v>69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customFormat="false" ht="15" hidden="false" customHeight="false" outlineLevel="0" collapsed="false">
      <c r="A2" s="19" t="s">
        <v>70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customFormat="false" ht="7.5" hidden="false" customHeight="true" outlineLevel="0" collapsed="false"/>
    <row r="4" customFormat="false" ht="36" hidden="false" customHeight="true" outlineLevel="0" collapsed="false">
      <c r="B4" s="20" t="s">
        <v>71</v>
      </c>
      <c r="C4" s="20" t="s">
        <v>72</v>
      </c>
      <c r="D4" s="20" t="s">
        <v>73</v>
      </c>
      <c r="E4" s="20" t="s">
        <v>74</v>
      </c>
      <c r="F4" s="20" t="s">
        <v>75</v>
      </c>
      <c r="G4" s="20" t="s">
        <v>76</v>
      </c>
      <c r="H4" s="20" t="s">
        <v>77</v>
      </c>
      <c r="I4" s="20" t="s">
        <v>78</v>
      </c>
      <c r="J4" s="20" t="s">
        <v>79</v>
      </c>
      <c r="K4" s="20" t="s">
        <v>80</v>
      </c>
      <c r="L4" s="20" t="s">
        <v>81</v>
      </c>
      <c r="M4" s="20" t="s">
        <v>82</v>
      </c>
      <c r="N4" s="20" t="s">
        <v>83</v>
      </c>
    </row>
    <row r="5" customFormat="false" ht="16.5" hidden="false" customHeight="true" outlineLevel="0" collapsed="false">
      <c r="B5" s="21" t="n">
        <v>1</v>
      </c>
      <c r="C5" s="22" t="n">
        <f aca="false">Assumptions!D16*(1+Assumptions!D18)^(1-1)*12</f>
        <v>174000</v>
      </c>
      <c r="D5" s="22" t="n">
        <f aca="false">-B5*Assumptions!D19</f>
        <v>-0.05</v>
      </c>
      <c r="E5" s="22" t="n">
        <f aca="false">B5+C5</f>
        <v>174001</v>
      </c>
      <c r="F5" s="22" t="n">
        <f aca="false">-3500000*Assumptions!D10</f>
        <v>-87500</v>
      </c>
      <c r="G5" s="22" t="n">
        <f aca="false">-3500000*(1-Assumptions!D12)^(1-1)*Assumptions!D12</f>
        <v>-70000</v>
      </c>
      <c r="H5" s="22" t="n">
        <f aca="false">-Assumptions!D23*12</f>
        <v>-24000</v>
      </c>
      <c r="I5" s="22" t="n">
        <f aca="false">-Assumptions!D16*(1+Assumptions!D18)^(1-1)*12*Assumptions!D26</f>
        <v>-13920</v>
      </c>
      <c r="J5" s="22" t="n">
        <f aca="false">-(Assumptions!D24+Assumptions!D25)</f>
        <v>-9600</v>
      </c>
      <c r="K5" s="22" t="n">
        <f aca="false">E5+F5+G5+H5+I5</f>
        <v>-21419</v>
      </c>
      <c r="L5" s="22" t="n">
        <f aca="false">D5+J5</f>
        <v>-9600.05</v>
      </c>
      <c r="M5" s="22" t="n">
        <f aca="false">IF(D5-Assumptions!D33&gt;0,-(D5-Assumptions!D33)*Assumptions!D32,0)</f>
        <v>0</v>
      </c>
      <c r="N5" s="22" t="n">
        <f aca="false">K5+L5</f>
        <v>-31019.05</v>
      </c>
    </row>
    <row r="6" customFormat="false" ht="16.5" hidden="false" customHeight="true" outlineLevel="0" collapsed="false">
      <c r="B6" s="23" t="n">
        <v>2</v>
      </c>
      <c r="C6" s="24" t="n">
        <f aca="false">Assumptions!D16*(1+Assumptions!D18)^(2-1)*12</f>
        <v>179220</v>
      </c>
      <c r="D6" s="24" t="n">
        <f aca="false">-B6*Assumptions!D19</f>
        <v>-0.1</v>
      </c>
      <c r="E6" s="24" t="n">
        <f aca="false">B6+C6</f>
        <v>179222</v>
      </c>
      <c r="F6" s="24" t="n">
        <f aca="false">-((3500000*(1-Assumptions!D12)^(2-1)))*Assumptions!D10</f>
        <v>-85750</v>
      </c>
      <c r="G6" s="24" t="n">
        <f aca="false">-3500000*(1-Assumptions!D12)^(2-1)*Assumptions!D12</f>
        <v>-68600</v>
      </c>
      <c r="H6" s="24" t="n">
        <f aca="false">-Assumptions!D23*12</f>
        <v>-24000</v>
      </c>
      <c r="I6" s="24" t="n">
        <f aca="false">-Assumptions!D16*(1+Assumptions!D18)^(2-1)*12*Assumptions!D26</f>
        <v>-14337.6</v>
      </c>
      <c r="J6" s="24" t="n">
        <f aca="false">-(Assumptions!D24+Assumptions!D25)</f>
        <v>-9600</v>
      </c>
      <c r="K6" s="24" t="n">
        <f aca="false">E6+F6+G6+H6+I6</f>
        <v>-13465.6</v>
      </c>
      <c r="L6" s="24" t="n">
        <f aca="false">D6+J6</f>
        <v>-9600.1</v>
      </c>
      <c r="M6" s="24" t="n">
        <f aca="false">IF(D6-Assumptions!D33&gt;0,-(D6-Assumptions!D33)*Assumptions!D32,0)</f>
        <v>0</v>
      </c>
      <c r="N6" s="24" t="n">
        <f aca="false">K6+L6</f>
        <v>-23065.7</v>
      </c>
    </row>
    <row r="7" customFormat="false" ht="16.5" hidden="false" customHeight="true" outlineLevel="0" collapsed="false">
      <c r="B7" s="21" t="n">
        <v>3</v>
      </c>
      <c r="C7" s="22" t="n">
        <f aca="false">Assumptions!D16*(1+Assumptions!D18)^(3-1)*12</f>
        <v>184596.6</v>
      </c>
      <c r="D7" s="22" t="n">
        <f aca="false">-B7*Assumptions!D19</f>
        <v>-0.15</v>
      </c>
      <c r="E7" s="22" t="n">
        <f aca="false">B7+C7</f>
        <v>184599.6</v>
      </c>
      <c r="F7" s="22" t="n">
        <f aca="false">-((3500000*(1-Assumptions!D12)^(3-1)))*Assumptions!D10</f>
        <v>-84035</v>
      </c>
      <c r="G7" s="22" t="n">
        <f aca="false">-3500000*(1-Assumptions!D12)^(3-1)*Assumptions!D12</f>
        <v>-67228</v>
      </c>
      <c r="H7" s="22" t="n">
        <f aca="false">-Assumptions!D23*12</f>
        <v>-24000</v>
      </c>
      <c r="I7" s="22" t="n">
        <f aca="false">-Assumptions!D16*(1+Assumptions!D18)^(3-1)*12*Assumptions!D26</f>
        <v>-14767.728</v>
      </c>
      <c r="J7" s="22" t="n">
        <f aca="false">-(Assumptions!D24+Assumptions!D25)</f>
        <v>-9600</v>
      </c>
      <c r="K7" s="22" t="n">
        <f aca="false">E7+F7+G7+H7+I7</f>
        <v>-5431.12800000001</v>
      </c>
      <c r="L7" s="22" t="n">
        <f aca="false">D7+J7</f>
        <v>-9600.15</v>
      </c>
      <c r="M7" s="22" t="n">
        <f aca="false">IF(D7-Assumptions!D33&gt;0,-(D7-Assumptions!D33)*Assumptions!D32,0)</f>
        <v>0</v>
      </c>
      <c r="N7" s="22" t="n">
        <f aca="false">K7+L7</f>
        <v>-15031.278</v>
      </c>
    </row>
    <row r="8" customFormat="false" ht="16.5" hidden="false" customHeight="true" outlineLevel="0" collapsed="false">
      <c r="B8" s="23" t="n">
        <v>4</v>
      </c>
      <c r="C8" s="24" t="n">
        <f aca="false">Assumptions!D16*(1+Assumptions!D18)^(4-1)*12</f>
        <v>190134.498</v>
      </c>
      <c r="D8" s="24" t="n">
        <f aca="false">-B8*Assumptions!D19</f>
        <v>-0.2</v>
      </c>
      <c r="E8" s="24" t="n">
        <f aca="false">B8+C8</f>
        <v>190138.498</v>
      </c>
      <c r="F8" s="24" t="n">
        <f aca="false">-((3500000*(1-Assumptions!D12)^(4-1)))*Assumptions!D10</f>
        <v>-82354.3</v>
      </c>
      <c r="G8" s="24" t="n">
        <f aca="false">-3500000*(1-Assumptions!D12)^(4-1)*Assumptions!D12</f>
        <v>-65883.44</v>
      </c>
      <c r="H8" s="24" t="n">
        <f aca="false">-Assumptions!D23*12</f>
        <v>-24000</v>
      </c>
      <c r="I8" s="24" t="n">
        <f aca="false">-Assumptions!D16*(1+Assumptions!D18)^(4-1)*12*Assumptions!D26</f>
        <v>-15210.75984</v>
      </c>
      <c r="J8" s="24" t="n">
        <f aca="false">-(Assumptions!D24+Assumptions!D25)</f>
        <v>-9600</v>
      </c>
      <c r="K8" s="24" t="n">
        <f aca="false">E8+F8+G8+H8+I8</f>
        <v>2689.99816000002</v>
      </c>
      <c r="L8" s="24" t="n">
        <f aca="false">D8+J8</f>
        <v>-9600.2</v>
      </c>
      <c r="M8" s="24" t="n">
        <f aca="false">IF(D8-Assumptions!D33&gt;0,-(D8-Assumptions!D33)*Assumptions!D32,0)</f>
        <v>0</v>
      </c>
      <c r="N8" s="24" t="n">
        <f aca="false">K8+L8</f>
        <v>-6910.20183999998</v>
      </c>
    </row>
    <row r="9" customFormat="false" ht="16.5" hidden="false" customHeight="true" outlineLevel="0" collapsed="false">
      <c r="B9" s="21" t="n">
        <v>5</v>
      </c>
      <c r="C9" s="22" t="n">
        <f aca="false">Assumptions!D16*(1+Assumptions!D18)^(5-1)*12</f>
        <v>195838.53294</v>
      </c>
      <c r="D9" s="22" t="n">
        <f aca="false">-B9*Assumptions!D19</f>
        <v>-0.25</v>
      </c>
      <c r="E9" s="22" t="n">
        <f aca="false">B9+C9</f>
        <v>195843.53294</v>
      </c>
      <c r="F9" s="22" t="n">
        <f aca="false">-((3500000*(1-Assumptions!D12)^(5-1)))*Assumptions!D10</f>
        <v>-80707.214</v>
      </c>
      <c r="G9" s="22" t="n">
        <f aca="false">-3500000*(1-Assumptions!D12)^(5-1)*Assumptions!D12</f>
        <v>-64565.7712</v>
      </c>
      <c r="H9" s="22" t="n">
        <f aca="false">-Assumptions!D23*12</f>
        <v>-24000</v>
      </c>
      <c r="I9" s="22" t="n">
        <f aca="false">-Assumptions!D16*(1+Assumptions!D18)^(5-1)*12*Assumptions!D26</f>
        <v>-15667.0826352</v>
      </c>
      <c r="J9" s="22" t="n">
        <f aca="false">-(Assumptions!D24+Assumptions!D25)</f>
        <v>-9600</v>
      </c>
      <c r="K9" s="22" t="n">
        <f aca="false">E9+F9+G9+H9+I9</f>
        <v>10903.4651048</v>
      </c>
      <c r="L9" s="22" t="n">
        <f aca="false">D9+J9</f>
        <v>-9600.25</v>
      </c>
      <c r="M9" s="22" t="n">
        <f aca="false">IF(D9-Assumptions!D33&gt;0,-(D9-Assumptions!D33)*Assumptions!D32,0)</f>
        <v>0</v>
      </c>
      <c r="N9" s="22" t="n">
        <f aca="false">K9+L9</f>
        <v>1303.21510480002</v>
      </c>
    </row>
    <row r="10" customFormat="false" ht="16.5" hidden="false" customHeight="true" outlineLevel="0" collapsed="false">
      <c r="B10" s="23" t="n">
        <v>6</v>
      </c>
      <c r="C10" s="24" t="n">
        <f aca="false">Assumptions!D16*(1+Assumptions!D18)^(6-1)*12</f>
        <v>201713.6889282</v>
      </c>
      <c r="D10" s="24" t="n">
        <f aca="false">-B10*Assumptions!D19</f>
        <v>-0.3</v>
      </c>
      <c r="E10" s="24" t="n">
        <f aca="false">B10+C10</f>
        <v>201719.6889282</v>
      </c>
      <c r="F10" s="24" t="n">
        <f aca="false">-((3500000*(1-Assumptions!D12)^(6-1)))*Assumptions!D10</f>
        <v>-79093.06972</v>
      </c>
      <c r="G10" s="24" t="n">
        <f aca="false">-3500000*(1-Assumptions!D12)^(6-1)*Assumptions!D12</f>
        <v>-63274.455776</v>
      </c>
      <c r="H10" s="24" t="n">
        <f aca="false">-Assumptions!D23*12</f>
        <v>-24000</v>
      </c>
      <c r="I10" s="24" t="n">
        <f aca="false">-Assumptions!D16*(1+Assumptions!D18)^(6-1)*12*Assumptions!D26</f>
        <v>-16137.095114256</v>
      </c>
      <c r="J10" s="24" t="n">
        <f aca="false">-(Assumptions!D24+Assumptions!D25)</f>
        <v>-9600</v>
      </c>
      <c r="K10" s="24" t="n">
        <f aca="false">E10+F10+G10+H10+I10</f>
        <v>19215.068317944</v>
      </c>
      <c r="L10" s="24" t="n">
        <f aca="false">D10+J10</f>
        <v>-9600.3</v>
      </c>
      <c r="M10" s="24" t="n">
        <f aca="false">IF(D10-Assumptions!D33&gt;0,-(D10-Assumptions!D33)*Assumptions!D32,0)</f>
        <v>0</v>
      </c>
      <c r="N10" s="24" t="n">
        <f aca="false">K10+L10</f>
        <v>9614.76831794403</v>
      </c>
    </row>
    <row r="11" customFormat="false" ht="16.5" hidden="false" customHeight="true" outlineLevel="0" collapsed="false">
      <c r="B11" s="21" t="n">
        <v>7</v>
      </c>
      <c r="C11" s="22" t="n">
        <f aca="false">Assumptions!D16*(1+Assumptions!D18)^(7-1)*12</f>
        <v>207765.099596046</v>
      </c>
      <c r="D11" s="22" t="n">
        <f aca="false">-B11*Assumptions!D19</f>
        <v>-0.35</v>
      </c>
      <c r="E11" s="22" t="n">
        <f aca="false">B11+C11</f>
        <v>207772.099596046</v>
      </c>
      <c r="F11" s="22" t="n">
        <f aca="false">-((3500000*(1-Assumptions!D12)^(7-1)))*Assumptions!D10</f>
        <v>-77511.2083256</v>
      </c>
      <c r="G11" s="22" t="n">
        <f aca="false">-3500000*(1-Assumptions!D12)^(7-1)*Assumptions!D12</f>
        <v>-62008.96666048</v>
      </c>
      <c r="H11" s="22" t="n">
        <f aca="false">-Assumptions!D23*12</f>
        <v>-24000</v>
      </c>
      <c r="I11" s="22" t="n">
        <f aca="false">-Assumptions!D16*(1+Assumptions!D18)^(7-1)*12*Assumptions!D26</f>
        <v>-16621.2079676837</v>
      </c>
      <c r="J11" s="22" t="n">
        <f aca="false">-(Assumptions!D24+Assumptions!D25)</f>
        <v>-9600</v>
      </c>
      <c r="K11" s="22" t="n">
        <f aca="false">E11+F11+G11+H11+I11</f>
        <v>27630.7166422823</v>
      </c>
      <c r="L11" s="22" t="n">
        <f aca="false">D11+J11</f>
        <v>-9600.35</v>
      </c>
      <c r="M11" s="22" t="n">
        <f aca="false">IF(D11-Assumptions!D33&gt;0,-(D11-Assumptions!D33)*Assumptions!D32,0)</f>
        <v>0</v>
      </c>
      <c r="N11" s="22" t="n">
        <f aca="false">K11+L11</f>
        <v>18030.3666422823</v>
      </c>
    </row>
    <row r="12" customFormat="false" ht="16.5" hidden="false" customHeight="true" outlineLevel="0" collapsed="false">
      <c r="B12" s="23" t="n">
        <v>8</v>
      </c>
      <c r="C12" s="24" t="n">
        <f aca="false">Assumptions!D16*(1+Assumptions!D18)^(8-1)*12</f>
        <v>213998.052583927</v>
      </c>
      <c r="D12" s="24" t="n">
        <f aca="false">-B12*Assumptions!D19</f>
        <v>-0.4</v>
      </c>
      <c r="E12" s="24" t="n">
        <f aca="false">B12+C12</f>
        <v>214006.052583927</v>
      </c>
      <c r="F12" s="24" t="n">
        <f aca="false">-((3500000*(1-Assumptions!D12)^(8-1)))*Assumptions!D10</f>
        <v>-75960.984159088</v>
      </c>
      <c r="G12" s="24" t="n">
        <f aca="false">-3500000*(1-Assumptions!D12)^(8-1)*Assumptions!D12</f>
        <v>-60768.7873272704</v>
      </c>
      <c r="H12" s="24" t="n">
        <f aca="false">-Assumptions!D23*12</f>
        <v>-24000</v>
      </c>
      <c r="I12" s="24" t="n">
        <f aca="false">-Assumptions!D16*(1+Assumptions!D18)^(8-1)*12*Assumptions!D26</f>
        <v>-17119.8442067142</v>
      </c>
      <c r="J12" s="24" t="n">
        <f aca="false">-(Assumptions!D24+Assumptions!D25)</f>
        <v>-9600</v>
      </c>
      <c r="K12" s="24" t="n">
        <f aca="false">E12+F12+G12+H12+I12</f>
        <v>36156.4368908548</v>
      </c>
      <c r="L12" s="24" t="n">
        <f aca="false">D12+J12</f>
        <v>-9600.4</v>
      </c>
      <c r="M12" s="24" t="n">
        <f aca="false">IF(D12-Assumptions!D33&gt;0,-(D12-Assumptions!D33)*Assumptions!D32,0)</f>
        <v>0</v>
      </c>
      <c r="N12" s="24" t="n">
        <f aca="false">K12+L12</f>
        <v>26556.0368908548</v>
      </c>
    </row>
    <row r="13" customFormat="false" ht="16.5" hidden="false" customHeight="true" outlineLevel="0" collapsed="false">
      <c r="B13" s="21" t="n">
        <v>9</v>
      </c>
      <c r="C13" s="22" t="n">
        <f aca="false">Assumptions!D16*(1+Assumptions!D18)^(9-1)*12</f>
        <v>220417.994161445</v>
      </c>
      <c r="D13" s="22" t="n">
        <f aca="false">-B13*Assumptions!D19</f>
        <v>-0.45</v>
      </c>
      <c r="E13" s="22" t="n">
        <f aca="false">B13+C13</f>
        <v>220426.994161445</v>
      </c>
      <c r="F13" s="22" t="n">
        <f aca="false">-((3500000*(1-Assumptions!D12)^(9-1)))*Assumptions!D10</f>
        <v>-74441.7644759062</v>
      </c>
      <c r="G13" s="22" t="n">
        <f aca="false">-3500000*(1-Assumptions!D12)^(9-1)*Assumptions!D12</f>
        <v>-59553.411580725</v>
      </c>
      <c r="H13" s="22" t="n">
        <f aca="false">-Assumptions!D23*12</f>
        <v>-24000</v>
      </c>
      <c r="I13" s="22" t="n">
        <f aca="false">-Assumptions!D16*(1+Assumptions!D18)^(9-1)*12*Assumptions!D26</f>
        <v>-17633.4395329156</v>
      </c>
      <c r="J13" s="22" t="n">
        <f aca="false">-(Assumptions!D24+Assumptions!D25)</f>
        <v>-9600</v>
      </c>
      <c r="K13" s="22" t="n">
        <f aca="false">E13+F13+G13+H13+I13</f>
        <v>44798.3785718984</v>
      </c>
      <c r="L13" s="22" t="n">
        <f aca="false">D13+J13</f>
        <v>-9600.45</v>
      </c>
      <c r="M13" s="22" t="n">
        <f aca="false">IF(D13-Assumptions!D33&gt;0,-(D13-Assumptions!D33)*Assumptions!D32,0)</f>
        <v>0</v>
      </c>
      <c r="N13" s="22" t="n">
        <f aca="false">K13+L13</f>
        <v>35197.9285718984</v>
      </c>
    </row>
    <row r="14" customFormat="false" ht="16.5" hidden="false" customHeight="true" outlineLevel="0" collapsed="false">
      <c r="B14" s="23" t="n">
        <v>10</v>
      </c>
      <c r="C14" s="24" t="n">
        <f aca="false">Assumptions!D16*(1+Assumptions!D18)^(10-1)*12</f>
        <v>227030.533986289</v>
      </c>
      <c r="D14" s="24" t="n">
        <f aca="false">-B14*Assumptions!D19</f>
        <v>-0.5</v>
      </c>
      <c r="E14" s="24" t="n">
        <f aca="false">B14+C14</f>
        <v>227040.533986289</v>
      </c>
      <c r="F14" s="24" t="n">
        <f aca="false">-((3500000*(1-Assumptions!D12)^(10-1)))*Assumptions!D10</f>
        <v>-72952.9291863881</v>
      </c>
      <c r="G14" s="24" t="n">
        <f aca="false">-3500000*(1-Assumptions!D12)^(10-1)*Assumptions!D12</f>
        <v>-58362.3433491105</v>
      </c>
      <c r="H14" s="24" t="n">
        <f aca="false">-Assumptions!D23*12</f>
        <v>-24000</v>
      </c>
      <c r="I14" s="24" t="n">
        <f aca="false">-Assumptions!D16*(1+Assumptions!D18)^(10-1)*12*Assumptions!D26</f>
        <v>-18162.4427189031</v>
      </c>
      <c r="J14" s="24" t="n">
        <f aca="false">-(Assumptions!D24+Assumptions!D25)</f>
        <v>-9600</v>
      </c>
      <c r="K14" s="24" t="n">
        <f aca="false">E14+F14+G14+H14+I14</f>
        <v>53562.8187318869</v>
      </c>
      <c r="L14" s="24" t="n">
        <f aca="false">D14+J14</f>
        <v>-9600.5</v>
      </c>
      <c r="M14" s="24" t="n">
        <f aca="false">IF(D14-Assumptions!D33&gt;0,-(D14-Assumptions!D33)*Assumptions!D32,0)</f>
        <v>0</v>
      </c>
      <c r="N14" s="24" t="n">
        <f aca="false">K14+L14</f>
        <v>43962.3187318869</v>
      </c>
    </row>
    <row r="15" customFormat="false" ht="18" hidden="false" customHeight="true" outlineLevel="0" collapsed="false">
      <c r="B15" s="25" t="s">
        <v>84</v>
      </c>
      <c r="C15" s="26" t="n">
        <f aca="false">SUM(C5:C14)</f>
        <v>1994715.00019591</v>
      </c>
      <c r="D15" s="26" t="n">
        <f aca="false">SUM(D5:D14)</f>
        <v>-2.75</v>
      </c>
      <c r="E15" s="26" t="n">
        <f aca="false">SUM(E5:E14)</f>
        <v>1994770.00019591</v>
      </c>
      <c r="F15" s="26" t="n">
        <f aca="false">SUM(F5:F14)</f>
        <v>-800306.469866982</v>
      </c>
      <c r="G15" s="26" t="n">
        <f aca="false">SUM(G5:G14)</f>
        <v>-640245.175893586</v>
      </c>
      <c r="H15" s="26" t="n">
        <f aca="false">SUM(H5:H14)</f>
        <v>-240000</v>
      </c>
      <c r="I15" s="26" t="n">
        <f aca="false">SUM(I5:I14)</f>
        <v>-159577.200015673</v>
      </c>
      <c r="J15" s="26" t="n">
        <f aca="false">SUM(J5:J14)</f>
        <v>-96000</v>
      </c>
      <c r="K15" s="26" t="n">
        <f aca="false">SUM(K5:K14)</f>
        <v>154641.154419667</v>
      </c>
      <c r="L15" s="26" t="n">
        <f aca="false">SUM(L5:L14)</f>
        <v>-96002.75</v>
      </c>
      <c r="M15" s="26" t="n">
        <f aca="false">SUM(M5:M14)</f>
        <v>0</v>
      </c>
    </row>
    <row r="17" customFormat="false" ht="15" hidden="false" customHeight="false" outlineLevel="0" collapsed="false">
      <c r="B17" s="3" t="s">
        <v>85</v>
      </c>
      <c r="C17" s="3"/>
      <c r="D17" s="3"/>
      <c r="E17" s="3"/>
      <c r="F17" s="3"/>
      <c r="G17" s="3"/>
    </row>
    <row r="18" customFormat="false" ht="16.5" hidden="false" customHeight="true" outlineLevel="0" collapsed="false">
      <c r="B18" s="27" t="s">
        <v>86</v>
      </c>
      <c r="C18" s="27"/>
      <c r="D18" s="28" t="n">
        <f aca="false">Assumptions!D16*12/Assumptions!D5</f>
        <v>0.058</v>
      </c>
    </row>
    <row r="19" customFormat="false" ht="16.5" hidden="false" customHeight="true" outlineLevel="0" collapsed="false">
      <c r="B19" s="27" t="s">
        <v>87</v>
      </c>
      <c r="C19" s="27"/>
      <c r="D19" s="28" t="n">
        <f aca="false">(Assumptions!D16*12*(1-Assumptions!D19)-Assumptions!D28)/Assumptions!D5</f>
        <v>0.03926</v>
      </c>
    </row>
    <row r="20" customFormat="false" ht="16.5" hidden="false" customHeight="true" outlineLevel="0" collapsed="false">
      <c r="B20" s="27" t="s">
        <v>88</v>
      </c>
      <c r="C20" s="27"/>
      <c r="D20" s="29" t="n">
        <f aca="false">(Assumptions!D16*12*(1-Assumptions!D19))/((Assumptions!D6*Assumptions!D10)+(Assumptions!D6*Assumptions!D12))</f>
        <v>1.04952380952381</v>
      </c>
    </row>
    <row r="21" customFormat="false" ht="16.5" hidden="false" customHeight="true" outlineLevel="0" collapsed="false">
      <c r="B21" s="27" t="s">
        <v>89</v>
      </c>
      <c r="C21" s="27"/>
      <c r="D21" s="30" t="n">
        <f aca="false">M5</f>
        <v>0</v>
      </c>
    </row>
    <row r="22" customFormat="false" ht="16.5" hidden="false" customHeight="true" outlineLevel="0" collapsed="false">
      <c r="B22" s="27" t="s">
        <v>90</v>
      </c>
      <c r="C22" s="27"/>
      <c r="D22" s="30" t="n">
        <f aca="false">M15</f>
        <v>0</v>
      </c>
    </row>
  </sheetData>
  <mergeCells count="8">
    <mergeCell ref="A1:M1"/>
    <mergeCell ref="A2:M2"/>
    <mergeCell ref="B17:G17"/>
    <mergeCell ref="B18:C18"/>
    <mergeCell ref="B19:C19"/>
    <mergeCell ref="B20:C20"/>
    <mergeCell ref="B21:C21"/>
    <mergeCell ref="B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5" min="2" style="0" width="18"/>
  </cols>
  <sheetData>
    <row r="1" customFormat="false" ht="30" hidden="false" customHeight="true" outlineLevel="0" collapsed="false">
      <c r="A1" s="18" t="s">
        <v>91</v>
      </c>
      <c r="B1" s="18"/>
      <c r="C1" s="18"/>
      <c r="D1" s="18"/>
      <c r="E1" s="18"/>
      <c r="F1" s="18"/>
      <c r="G1" s="18"/>
      <c r="H1" s="18"/>
      <c r="I1" s="18"/>
      <c r="J1" s="18"/>
    </row>
    <row r="4" customFormat="false" ht="15" hidden="false" customHeight="false" outlineLevel="0" collapsed="false">
      <c r="B4" s="31" t="s">
        <v>92</v>
      </c>
      <c r="C4" s="32" t="s">
        <v>93</v>
      </c>
      <c r="D4" s="32" t="s">
        <v>94</v>
      </c>
      <c r="E4" s="32" t="s">
        <v>95</v>
      </c>
    </row>
    <row r="5" customFormat="false" ht="19.5" hidden="false" customHeight="true" outlineLevel="0" collapsed="false">
      <c r="B5" s="33" t="s">
        <v>96</v>
      </c>
      <c r="C5" s="34" t="n">
        <v>-94860</v>
      </c>
      <c r="D5" s="34" t="n">
        <v>-129860</v>
      </c>
      <c r="E5" s="34" t="n">
        <v>-164860</v>
      </c>
    </row>
    <row r="6" customFormat="false" ht="19.5" hidden="false" customHeight="true" outlineLevel="0" collapsed="false">
      <c r="B6" s="33" t="s">
        <v>97</v>
      </c>
      <c r="C6" s="34" t="n">
        <v>-77310</v>
      </c>
      <c r="D6" s="34" t="n">
        <v>-112310</v>
      </c>
      <c r="E6" s="34" t="n">
        <v>-147310</v>
      </c>
    </row>
    <row r="7" customFormat="false" ht="19.5" hidden="false" customHeight="true" outlineLevel="0" collapsed="false">
      <c r="B7" s="33" t="s">
        <v>98</v>
      </c>
      <c r="C7" s="34" t="n">
        <v>-59760</v>
      </c>
      <c r="D7" s="34" t="n">
        <v>-94760</v>
      </c>
      <c r="E7" s="34" t="n">
        <v>-129760</v>
      </c>
    </row>
    <row r="9" customFormat="false" ht="15" hidden="false" customHeight="false" outlineLevel="0" collapsed="false">
      <c r="B9" s="35" t="s">
        <v>99</v>
      </c>
      <c r="C9" s="35"/>
      <c r="D9" s="35"/>
      <c r="E9" s="35"/>
      <c r="F9" s="35"/>
      <c r="G9" s="35"/>
      <c r="H9" s="35"/>
      <c r="I9" s="35"/>
      <c r="J9" s="35"/>
    </row>
    <row r="11" customFormat="false" ht="15" hidden="false" customHeight="false" outlineLevel="0" collapsed="false">
      <c r="B11" s="36" t="s">
        <v>100</v>
      </c>
      <c r="C11" s="36"/>
      <c r="D11" s="36"/>
      <c r="E11" s="36"/>
      <c r="F11" s="36"/>
      <c r="G11" s="36"/>
      <c r="H11" s="36"/>
      <c r="I11" s="36"/>
      <c r="J11" s="36"/>
    </row>
    <row r="13" customFormat="false" ht="15" hidden="false" customHeight="false" outlineLevel="0" collapsed="false">
      <c r="B13" s="37" t="s">
        <v>101</v>
      </c>
      <c r="C13" s="37" t="s">
        <v>102</v>
      </c>
      <c r="D13" s="37" t="s">
        <v>103</v>
      </c>
    </row>
    <row r="14" customFormat="false" ht="18" hidden="false" customHeight="true" outlineLevel="0" collapsed="false">
      <c r="B14" s="38" t="s">
        <v>93</v>
      </c>
      <c r="C14" s="30" t="n">
        <v>18220.823798627</v>
      </c>
      <c r="D14" s="34" t="n">
        <v>3720.823798627</v>
      </c>
    </row>
    <row r="15" customFormat="false" ht="18" hidden="false" customHeight="true" outlineLevel="0" collapsed="false">
      <c r="B15" s="39" t="s">
        <v>94</v>
      </c>
      <c r="C15" s="40" t="n">
        <v>21557.9710144928</v>
      </c>
      <c r="D15" s="34" t="n">
        <v>7057.97101449276</v>
      </c>
    </row>
    <row r="16" customFormat="false" ht="18" hidden="false" customHeight="true" outlineLevel="0" collapsed="false">
      <c r="B16" s="38" t="s">
        <v>95</v>
      </c>
      <c r="C16" s="30" t="n">
        <v>24895.1182303585</v>
      </c>
      <c r="D16" s="34" t="n">
        <v>10395.1182303585</v>
      </c>
    </row>
  </sheetData>
  <mergeCells count="3">
    <mergeCell ref="A1:J1"/>
    <mergeCell ref="B9:J9"/>
    <mergeCell ref="B11:J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4" min="3" style="0" width="5"/>
    <col collapsed="false" customWidth="true" hidden="false" outlineLevel="0" max="5" min="5" style="0" width="18"/>
    <col collapsed="false" customWidth="true" hidden="false" outlineLevel="0" max="6" min="6" style="0" width="20"/>
  </cols>
  <sheetData>
    <row r="1" customFormat="false" ht="30" hidden="false" customHeight="true" outlineLevel="0" collapsed="false">
      <c r="A1" s="18" t="s">
        <v>104</v>
      </c>
      <c r="B1" s="18"/>
      <c r="C1" s="18"/>
      <c r="D1" s="18"/>
      <c r="E1" s="18"/>
      <c r="F1" s="18"/>
      <c r="G1" s="18"/>
      <c r="H1" s="18"/>
    </row>
    <row r="3" customFormat="false" ht="18" hidden="false" customHeight="true" outlineLevel="0" collapsed="false">
      <c r="B3" s="3" t="s">
        <v>105</v>
      </c>
      <c r="C3" s="3"/>
      <c r="D3" s="3"/>
      <c r="E3" s="3"/>
      <c r="F3" s="3"/>
      <c r="G3" s="3"/>
    </row>
    <row r="4" customFormat="false" ht="18" hidden="false" customHeight="true" outlineLevel="0" collapsed="false">
      <c r="B4" s="41" t="s">
        <v>106</v>
      </c>
      <c r="C4" s="41"/>
      <c r="D4" s="41"/>
      <c r="E4" s="22" t="n">
        <f aca="false">Annual_Cashflow!M15</f>
        <v>0</v>
      </c>
    </row>
    <row r="5" customFormat="false" ht="18" hidden="false" customHeight="true" outlineLevel="0" collapsed="false"/>
    <row r="6" customFormat="false" ht="18" hidden="false" customHeight="true" outlineLevel="0" collapsed="false">
      <c r="B6" s="3" t="s">
        <v>107</v>
      </c>
      <c r="C6" s="3"/>
      <c r="D6" s="3"/>
      <c r="E6" s="3"/>
      <c r="F6" s="3"/>
      <c r="G6" s="3"/>
    </row>
    <row r="7" customFormat="false" ht="18" hidden="false" customHeight="true" outlineLevel="0" collapsed="false">
      <c r="B7" s="42" t="s">
        <v>61</v>
      </c>
      <c r="C7" s="42"/>
      <c r="D7" s="42"/>
      <c r="E7" s="24" t="n">
        <f aca="false">Assumptions!D40</f>
        <v>4031749.13803237</v>
      </c>
    </row>
    <row r="8" customFormat="false" ht="18" hidden="false" customHeight="true" outlineLevel="0" collapsed="false">
      <c r="B8" s="41" t="s">
        <v>108</v>
      </c>
      <c r="C8" s="41"/>
      <c r="D8" s="41"/>
      <c r="E8" s="22" t="n">
        <f aca="false">-Assumptions!D40*Assumptions!D39</f>
        <v>-100793.728450809</v>
      </c>
    </row>
    <row r="9" customFormat="false" ht="18" hidden="false" customHeight="true" outlineLevel="0" collapsed="false">
      <c r="B9" s="42" t="s">
        <v>109</v>
      </c>
      <c r="C9" s="42"/>
      <c r="D9" s="42"/>
      <c r="E9" s="24" t="n">
        <f aca="false">-3500000*(1-0.02)^10</f>
        <v>-2859754.82410641</v>
      </c>
    </row>
    <row r="10" customFormat="false" ht="18" hidden="false" customHeight="true" outlineLevel="0" collapsed="false">
      <c r="B10" s="41" t="s">
        <v>110</v>
      </c>
      <c r="C10" s="41"/>
      <c r="D10" s="41"/>
      <c r="E10" s="22" t="n">
        <f aca="false">-Assumptions!D43</f>
        <v>-204810.190107943</v>
      </c>
    </row>
    <row r="11" customFormat="false" ht="18" hidden="false" customHeight="true" outlineLevel="0" collapsed="false">
      <c r="B11" s="42" t="s">
        <v>111</v>
      </c>
      <c r="C11" s="42"/>
      <c r="D11" s="42"/>
      <c r="E11" s="24" t="n">
        <f aca="false">E5+E6+E7+E8</f>
        <v>3930955.40958156</v>
      </c>
    </row>
    <row r="12" customFormat="false" ht="18" hidden="false" customHeight="true" outlineLevel="0" collapsed="false">
      <c r="B12" s="41" t="s">
        <v>112</v>
      </c>
      <c r="C12" s="41"/>
      <c r="D12" s="41"/>
      <c r="E12" s="22" t="n">
        <f aca="false">-Assumptions!D7</f>
        <v>-500000</v>
      </c>
    </row>
    <row r="13" customFormat="false" ht="18" hidden="false" customHeight="true" outlineLevel="0" collapsed="false">
      <c r="B13" s="42" t="s">
        <v>113</v>
      </c>
      <c r="C13" s="42"/>
      <c r="D13" s="42"/>
      <c r="E13" s="24" t="n">
        <f aca="false">E9+E10</f>
        <v>-3064565.01421436</v>
      </c>
    </row>
    <row r="14" customFormat="false" ht="18" hidden="false" customHeight="true" outlineLevel="0" collapsed="false"/>
    <row r="15" customFormat="false" ht="18" hidden="false" customHeight="true" outlineLevel="0" collapsed="false">
      <c r="B15" s="43" t="s">
        <v>114</v>
      </c>
      <c r="C15" s="43"/>
      <c r="D15" s="43"/>
      <c r="E15" s="44" t="n">
        <f aca="false">E2+E11</f>
        <v>3930955.40958156</v>
      </c>
    </row>
    <row r="16" customFormat="false" ht="18" hidden="false" customHeight="true" outlineLevel="0" collapsed="false">
      <c r="B16" s="43" t="s">
        <v>115</v>
      </c>
      <c r="C16" s="43"/>
      <c r="D16" s="43"/>
      <c r="E16" s="45" t="n">
        <f aca="false">(E2+E9)/(-E10)</f>
        <v>-13.9629518560537</v>
      </c>
    </row>
    <row r="17" customFormat="false" ht="18" hidden="false" customHeight="true" outlineLevel="0" collapsed="false">
      <c r="B17" s="43" t="s">
        <v>116</v>
      </c>
      <c r="C17" s="43"/>
      <c r="D17" s="43"/>
      <c r="E17" s="46" t="n">
        <f aca="false">(1+E14)^(1/10)-1</f>
        <v>0</v>
      </c>
    </row>
  </sheetData>
  <mergeCells count="14">
    <mergeCell ref="A1:H1"/>
    <mergeCell ref="B3:G3"/>
    <mergeCell ref="B4:D4"/>
    <mergeCell ref="B6:G6"/>
    <mergeCell ref="B7:D7"/>
    <mergeCell ref="B8:D8"/>
    <mergeCell ref="B9:D9"/>
    <mergeCell ref="B10:D10"/>
    <mergeCell ref="B11:D11"/>
    <mergeCell ref="B12:D12"/>
    <mergeCell ref="B13:D13"/>
    <mergeCell ref="B15:D15"/>
    <mergeCell ref="B16:D16"/>
    <mergeCell ref="B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8"/>
    <col collapsed="false" customWidth="true" hidden="false" outlineLevel="0" max="10" min="4" style="0" width="16"/>
  </cols>
  <sheetData>
    <row r="1" customFormat="false" ht="30" hidden="false" customHeight="true" outlineLevel="0" collapsed="false">
      <c r="A1" s="18" t="s">
        <v>117</v>
      </c>
      <c r="B1" s="18"/>
      <c r="C1" s="18"/>
      <c r="D1" s="18"/>
      <c r="E1" s="18"/>
      <c r="F1" s="18"/>
      <c r="G1" s="18"/>
      <c r="H1" s="18"/>
      <c r="I1" s="18"/>
      <c r="J1" s="18"/>
    </row>
    <row r="3" customFormat="false" ht="36" hidden="false" customHeight="true" outlineLevel="0" collapsed="false">
      <c r="B3" s="20" t="s">
        <v>118</v>
      </c>
      <c r="C3" s="20" t="s">
        <v>71</v>
      </c>
      <c r="D3" s="20" t="s">
        <v>119</v>
      </c>
      <c r="E3" s="20" t="s">
        <v>120</v>
      </c>
      <c r="F3" s="20" t="s">
        <v>121</v>
      </c>
      <c r="G3" s="20" t="s">
        <v>122</v>
      </c>
      <c r="H3" s="20" t="s">
        <v>123</v>
      </c>
      <c r="I3" s="20" t="s">
        <v>124</v>
      </c>
      <c r="J3" s="20" t="s">
        <v>125</v>
      </c>
    </row>
    <row r="4" customFormat="false" ht="15" hidden="false" customHeight="true" outlineLevel="0" collapsed="false">
      <c r="B4" s="47" t="n">
        <v>1</v>
      </c>
      <c r="C4" s="47" t="n">
        <v>1</v>
      </c>
      <c r="D4" s="48" t="n">
        <f aca="false">Assumptions!D6</f>
        <v>3500000</v>
      </c>
      <c r="E4" s="22" t="n">
        <f aca="false">D4*Assumptions!D10/12</f>
        <v>7291.66666666667</v>
      </c>
      <c r="F4" s="22" t="n">
        <f aca="false">Assumptions!D6*Assumptions!D12/12</f>
        <v>5833.33333333333</v>
      </c>
      <c r="G4" s="22" t="n">
        <f aca="false">E4+F4</f>
        <v>13125</v>
      </c>
      <c r="H4" s="22" t="n">
        <f aca="false">D4-F4</f>
        <v>3494166.66666667</v>
      </c>
      <c r="I4" s="22" t="n">
        <f aca="false">E4</f>
        <v>7291.66666666667</v>
      </c>
      <c r="J4" s="22" t="n">
        <f aca="false">F4</f>
        <v>5833.33333333333</v>
      </c>
    </row>
    <row r="5" customFormat="false" ht="15" hidden="false" customHeight="true" outlineLevel="0" collapsed="false">
      <c r="B5" s="49" t="n">
        <v>2</v>
      </c>
      <c r="C5" s="49" t="n">
        <v>1</v>
      </c>
      <c r="D5" s="24" t="n">
        <f aca="false">H4</f>
        <v>3494166.66666667</v>
      </c>
      <c r="E5" s="24" t="n">
        <f aca="false">D5*Assumptions!D10/12</f>
        <v>7279.51388888889</v>
      </c>
      <c r="F5" s="24" t="n">
        <f aca="false">Assumptions!D6*Assumptions!D12/12</f>
        <v>5833.33333333333</v>
      </c>
      <c r="G5" s="24" t="n">
        <f aca="false">E5+F5</f>
        <v>13112.8472222222</v>
      </c>
      <c r="H5" s="24" t="n">
        <f aca="false">D5-F5</f>
        <v>3488333.33333333</v>
      </c>
      <c r="I5" s="24" t="n">
        <f aca="false">I4+E5</f>
        <v>14571.1805555556</v>
      </c>
      <c r="J5" s="24" t="n">
        <f aca="false">J4+F5</f>
        <v>11666.6666666667</v>
      </c>
    </row>
    <row r="6" customFormat="false" ht="15" hidden="false" customHeight="true" outlineLevel="0" collapsed="false">
      <c r="B6" s="47" t="n">
        <v>3</v>
      </c>
      <c r="C6" s="47" t="n">
        <v>1</v>
      </c>
      <c r="D6" s="22" t="n">
        <f aca="false">H5</f>
        <v>3488333.33333333</v>
      </c>
      <c r="E6" s="22" t="n">
        <f aca="false">D6*Assumptions!D10/12</f>
        <v>7267.36111111111</v>
      </c>
      <c r="F6" s="22" t="n">
        <f aca="false">Assumptions!D6*Assumptions!D12/12</f>
        <v>5833.33333333333</v>
      </c>
      <c r="G6" s="22" t="n">
        <f aca="false">E6+F6</f>
        <v>13100.6944444444</v>
      </c>
      <c r="H6" s="22" t="n">
        <f aca="false">D6-F6</f>
        <v>3482500</v>
      </c>
      <c r="I6" s="22" t="n">
        <f aca="false">I5+E6</f>
        <v>21838.5416666667</v>
      </c>
      <c r="J6" s="22" t="n">
        <f aca="false">J5+F6</f>
        <v>17500</v>
      </c>
    </row>
    <row r="7" customFormat="false" ht="15" hidden="false" customHeight="true" outlineLevel="0" collapsed="false">
      <c r="B7" s="49" t="n">
        <v>4</v>
      </c>
      <c r="C7" s="49" t="n">
        <v>1</v>
      </c>
      <c r="D7" s="24" t="n">
        <f aca="false">H6</f>
        <v>3482500</v>
      </c>
      <c r="E7" s="24" t="n">
        <f aca="false">D7*Assumptions!D10/12</f>
        <v>7255.20833333333</v>
      </c>
      <c r="F7" s="24" t="n">
        <f aca="false">Assumptions!D6*Assumptions!D12/12</f>
        <v>5833.33333333333</v>
      </c>
      <c r="G7" s="24" t="n">
        <f aca="false">E7+F7</f>
        <v>13088.5416666667</v>
      </c>
      <c r="H7" s="24" t="n">
        <f aca="false">D7-F7</f>
        <v>3476666.66666667</v>
      </c>
      <c r="I7" s="24" t="n">
        <f aca="false">I6+E7</f>
        <v>29093.75</v>
      </c>
      <c r="J7" s="24" t="n">
        <f aca="false">J6+F7</f>
        <v>23333.3333333333</v>
      </c>
    </row>
    <row r="8" customFormat="false" ht="15" hidden="false" customHeight="true" outlineLevel="0" collapsed="false">
      <c r="B8" s="47" t="n">
        <v>5</v>
      </c>
      <c r="C8" s="47" t="n">
        <v>1</v>
      </c>
      <c r="D8" s="22" t="n">
        <f aca="false">H7</f>
        <v>3476666.66666667</v>
      </c>
      <c r="E8" s="22" t="n">
        <f aca="false">D8*Assumptions!D10/12</f>
        <v>7243.05555555556</v>
      </c>
      <c r="F8" s="22" t="n">
        <f aca="false">Assumptions!D6*Assumptions!D12/12</f>
        <v>5833.33333333333</v>
      </c>
      <c r="G8" s="22" t="n">
        <f aca="false">E8+F8</f>
        <v>13076.3888888889</v>
      </c>
      <c r="H8" s="22" t="n">
        <f aca="false">D8-F8</f>
        <v>3470833.33333333</v>
      </c>
      <c r="I8" s="22" t="n">
        <f aca="false">I7+E8</f>
        <v>36336.8055555556</v>
      </c>
      <c r="J8" s="22" t="n">
        <f aca="false">J7+F8</f>
        <v>29166.6666666667</v>
      </c>
    </row>
    <row r="9" customFormat="false" ht="15" hidden="false" customHeight="true" outlineLevel="0" collapsed="false">
      <c r="B9" s="49" t="n">
        <v>6</v>
      </c>
      <c r="C9" s="49" t="n">
        <v>1</v>
      </c>
      <c r="D9" s="24" t="n">
        <f aca="false">H8</f>
        <v>3470833.33333333</v>
      </c>
      <c r="E9" s="24" t="n">
        <f aca="false">D9*Assumptions!D10/12</f>
        <v>7230.90277777778</v>
      </c>
      <c r="F9" s="24" t="n">
        <f aca="false">Assumptions!D6*Assumptions!D12/12</f>
        <v>5833.33333333333</v>
      </c>
      <c r="G9" s="24" t="n">
        <f aca="false">E9+F9</f>
        <v>13064.2361111111</v>
      </c>
      <c r="H9" s="24" t="n">
        <f aca="false">D9-F9</f>
        <v>3465000</v>
      </c>
      <c r="I9" s="24" t="n">
        <f aca="false">I8+E9</f>
        <v>43567.7083333333</v>
      </c>
      <c r="J9" s="24" t="n">
        <f aca="false">J8+F9</f>
        <v>35000</v>
      </c>
    </row>
    <row r="10" customFormat="false" ht="15" hidden="false" customHeight="true" outlineLevel="0" collapsed="false">
      <c r="B10" s="47" t="n">
        <v>7</v>
      </c>
      <c r="C10" s="47" t="n">
        <v>1</v>
      </c>
      <c r="D10" s="22" t="n">
        <f aca="false">H9</f>
        <v>3465000</v>
      </c>
      <c r="E10" s="22" t="n">
        <f aca="false">D10*Assumptions!D10/12</f>
        <v>7218.75</v>
      </c>
      <c r="F10" s="22" t="n">
        <f aca="false">Assumptions!D6*Assumptions!D12/12</f>
        <v>5833.33333333333</v>
      </c>
      <c r="G10" s="22" t="n">
        <f aca="false">E10+F10</f>
        <v>13052.0833333333</v>
      </c>
      <c r="H10" s="22" t="n">
        <f aca="false">D10-F10</f>
        <v>3459166.66666667</v>
      </c>
      <c r="I10" s="22" t="n">
        <f aca="false">I9+E10</f>
        <v>50786.4583333333</v>
      </c>
      <c r="J10" s="22" t="n">
        <f aca="false">J9+F10</f>
        <v>40833.3333333333</v>
      </c>
    </row>
    <row r="11" customFormat="false" ht="15" hidden="false" customHeight="true" outlineLevel="0" collapsed="false">
      <c r="B11" s="49" t="n">
        <v>8</v>
      </c>
      <c r="C11" s="49" t="n">
        <v>1</v>
      </c>
      <c r="D11" s="24" t="n">
        <f aca="false">H10</f>
        <v>3459166.66666667</v>
      </c>
      <c r="E11" s="24" t="n">
        <f aca="false">D11*Assumptions!D10/12</f>
        <v>7206.59722222222</v>
      </c>
      <c r="F11" s="24" t="n">
        <f aca="false">Assumptions!D6*Assumptions!D12/12</f>
        <v>5833.33333333333</v>
      </c>
      <c r="G11" s="24" t="n">
        <f aca="false">E11+F11</f>
        <v>13039.9305555556</v>
      </c>
      <c r="H11" s="24" t="n">
        <f aca="false">D11-F11</f>
        <v>3453333.33333333</v>
      </c>
      <c r="I11" s="24" t="n">
        <f aca="false">I10+E11</f>
        <v>57993.0555555556</v>
      </c>
      <c r="J11" s="24" t="n">
        <f aca="false">J10+F11</f>
        <v>46666.6666666667</v>
      </c>
    </row>
    <row r="12" customFormat="false" ht="15" hidden="false" customHeight="true" outlineLevel="0" collapsed="false">
      <c r="B12" s="47" t="n">
        <v>9</v>
      </c>
      <c r="C12" s="47" t="n">
        <v>1</v>
      </c>
      <c r="D12" s="22" t="n">
        <f aca="false">H11</f>
        <v>3453333.33333333</v>
      </c>
      <c r="E12" s="22" t="n">
        <f aca="false">D12*Assumptions!D10/12</f>
        <v>7194.44444444444</v>
      </c>
      <c r="F12" s="22" t="n">
        <f aca="false">Assumptions!D6*Assumptions!D12/12</f>
        <v>5833.33333333333</v>
      </c>
      <c r="G12" s="22" t="n">
        <f aca="false">E12+F12</f>
        <v>13027.7777777778</v>
      </c>
      <c r="H12" s="22" t="n">
        <f aca="false">D12-F12</f>
        <v>3447500</v>
      </c>
      <c r="I12" s="22" t="n">
        <f aca="false">I11+E12</f>
        <v>65187.5</v>
      </c>
      <c r="J12" s="22" t="n">
        <f aca="false">J11+F12</f>
        <v>52500</v>
      </c>
    </row>
    <row r="13" customFormat="false" ht="15" hidden="false" customHeight="true" outlineLevel="0" collapsed="false">
      <c r="B13" s="49" t="n">
        <v>10</v>
      </c>
      <c r="C13" s="49" t="n">
        <v>1</v>
      </c>
      <c r="D13" s="24" t="n">
        <f aca="false">H12</f>
        <v>3447500</v>
      </c>
      <c r="E13" s="24" t="n">
        <f aca="false">D13*Assumptions!D10/12</f>
        <v>7182.29166666666</v>
      </c>
      <c r="F13" s="24" t="n">
        <f aca="false">Assumptions!D6*Assumptions!D12/12</f>
        <v>5833.33333333333</v>
      </c>
      <c r="G13" s="24" t="n">
        <f aca="false">E13+F13</f>
        <v>13015.625</v>
      </c>
      <c r="H13" s="24" t="n">
        <f aca="false">D13-F13</f>
        <v>3441666.66666667</v>
      </c>
      <c r="I13" s="24" t="n">
        <f aca="false">I12+E13</f>
        <v>72369.7916666667</v>
      </c>
      <c r="J13" s="24" t="n">
        <f aca="false">J12+F13</f>
        <v>58333.3333333333</v>
      </c>
    </row>
    <row r="14" customFormat="false" ht="15" hidden="false" customHeight="true" outlineLevel="0" collapsed="false">
      <c r="B14" s="47" t="n">
        <v>11</v>
      </c>
      <c r="C14" s="47" t="n">
        <v>1</v>
      </c>
      <c r="D14" s="22" t="n">
        <f aca="false">H13</f>
        <v>3441666.66666667</v>
      </c>
      <c r="E14" s="22" t="n">
        <f aca="false">D14*Assumptions!D10/12</f>
        <v>7170.13888888889</v>
      </c>
      <c r="F14" s="22" t="n">
        <f aca="false">Assumptions!D6*Assumptions!D12/12</f>
        <v>5833.33333333333</v>
      </c>
      <c r="G14" s="22" t="n">
        <f aca="false">E14+F14</f>
        <v>13003.4722222222</v>
      </c>
      <c r="H14" s="22" t="n">
        <f aca="false">D14-F14</f>
        <v>3435833.33333333</v>
      </c>
      <c r="I14" s="22" t="n">
        <f aca="false">I13+E14</f>
        <v>79539.9305555556</v>
      </c>
      <c r="J14" s="22" t="n">
        <f aca="false">J13+F14</f>
        <v>64166.6666666667</v>
      </c>
    </row>
    <row r="15" customFormat="false" ht="15" hidden="false" customHeight="true" outlineLevel="0" collapsed="false">
      <c r="B15" s="49" t="n">
        <v>12</v>
      </c>
      <c r="C15" s="49" t="n">
        <v>1</v>
      </c>
      <c r="D15" s="24" t="n">
        <f aca="false">H14</f>
        <v>3435833.33333333</v>
      </c>
      <c r="E15" s="24" t="n">
        <f aca="false">D15*Assumptions!D10/12</f>
        <v>7157.98611111111</v>
      </c>
      <c r="F15" s="24" t="n">
        <f aca="false">Assumptions!D6*Assumptions!D12/12</f>
        <v>5833.33333333333</v>
      </c>
      <c r="G15" s="24" t="n">
        <f aca="false">E15+F15</f>
        <v>12991.3194444444</v>
      </c>
      <c r="H15" s="24" t="n">
        <f aca="false">D15-F15</f>
        <v>3430000</v>
      </c>
      <c r="I15" s="24" t="n">
        <f aca="false">I14+E15</f>
        <v>86697.9166666667</v>
      </c>
      <c r="J15" s="24" t="n">
        <f aca="false">J14+F15</f>
        <v>70000</v>
      </c>
    </row>
    <row r="16" customFormat="false" ht="15" hidden="false" customHeight="true" outlineLevel="0" collapsed="false">
      <c r="B16" s="47" t="n">
        <v>13</v>
      </c>
      <c r="C16" s="47" t="n">
        <v>2</v>
      </c>
      <c r="D16" s="22" t="n">
        <f aca="false">H15</f>
        <v>3430000</v>
      </c>
      <c r="E16" s="22" t="n">
        <f aca="false">D16*Assumptions!D10/12</f>
        <v>7145.83333333333</v>
      </c>
      <c r="F16" s="22" t="n">
        <f aca="false">Assumptions!D6*Assumptions!D12/12</f>
        <v>5833.33333333333</v>
      </c>
      <c r="G16" s="22" t="n">
        <f aca="false">E16+F16</f>
        <v>12979.1666666667</v>
      </c>
      <c r="H16" s="22" t="n">
        <f aca="false">D16-F16</f>
        <v>3424166.66666666</v>
      </c>
      <c r="I16" s="22" t="n">
        <f aca="false">I15+E16</f>
        <v>93843.75</v>
      </c>
      <c r="J16" s="22" t="n">
        <f aca="false">J15+F16</f>
        <v>75833.3333333333</v>
      </c>
    </row>
    <row r="17" customFormat="false" ht="15" hidden="false" customHeight="true" outlineLevel="0" collapsed="false">
      <c r="B17" s="49" t="n">
        <v>14</v>
      </c>
      <c r="C17" s="49" t="n">
        <v>2</v>
      </c>
      <c r="D17" s="24" t="n">
        <f aca="false">H16</f>
        <v>3424166.66666666</v>
      </c>
      <c r="E17" s="24" t="n">
        <f aca="false">D17*Assumptions!D10/12</f>
        <v>7133.68055555555</v>
      </c>
      <c r="F17" s="24" t="n">
        <f aca="false">Assumptions!D6*Assumptions!D12/12</f>
        <v>5833.33333333333</v>
      </c>
      <c r="G17" s="24" t="n">
        <f aca="false">E17+F17</f>
        <v>12967.0138888889</v>
      </c>
      <c r="H17" s="24" t="n">
        <f aca="false">D17-F17</f>
        <v>3418333.33333333</v>
      </c>
      <c r="I17" s="24" t="n">
        <f aca="false">I16+E17</f>
        <v>100977.430555556</v>
      </c>
      <c r="J17" s="24" t="n">
        <f aca="false">J16+F17</f>
        <v>81666.6666666667</v>
      </c>
    </row>
    <row r="18" customFormat="false" ht="15" hidden="false" customHeight="true" outlineLevel="0" collapsed="false">
      <c r="B18" s="47" t="n">
        <v>15</v>
      </c>
      <c r="C18" s="47" t="n">
        <v>2</v>
      </c>
      <c r="D18" s="22" t="n">
        <f aca="false">H17</f>
        <v>3418333.33333333</v>
      </c>
      <c r="E18" s="22" t="n">
        <f aca="false">D18*Assumptions!D10/12</f>
        <v>7121.52777777777</v>
      </c>
      <c r="F18" s="22" t="n">
        <f aca="false">Assumptions!D6*Assumptions!D12/12</f>
        <v>5833.33333333333</v>
      </c>
      <c r="G18" s="22" t="n">
        <f aca="false">E18+F18</f>
        <v>12954.8611111111</v>
      </c>
      <c r="H18" s="22" t="n">
        <f aca="false">D18-F18</f>
        <v>3412500</v>
      </c>
      <c r="I18" s="22" t="n">
        <f aca="false">I17+E18</f>
        <v>108098.958333333</v>
      </c>
      <c r="J18" s="22" t="n">
        <f aca="false">J17+F18</f>
        <v>87500</v>
      </c>
    </row>
    <row r="19" customFormat="false" ht="15" hidden="false" customHeight="true" outlineLevel="0" collapsed="false">
      <c r="B19" s="49" t="n">
        <v>16</v>
      </c>
      <c r="C19" s="49" t="n">
        <v>2</v>
      </c>
      <c r="D19" s="24" t="n">
        <f aca="false">H18</f>
        <v>3412500</v>
      </c>
      <c r="E19" s="24" t="n">
        <f aca="false">D19*Assumptions!D10/12</f>
        <v>7109.375</v>
      </c>
      <c r="F19" s="24" t="n">
        <f aca="false">Assumptions!D6*Assumptions!D12/12</f>
        <v>5833.33333333333</v>
      </c>
      <c r="G19" s="24" t="n">
        <f aca="false">E19+F19</f>
        <v>12942.7083333333</v>
      </c>
      <c r="H19" s="24" t="n">
        <f aca="false">D19-F19</f>
        <v>3406666.66666666</v>
      </c>
      <c r="I19" s="24" t="n">
        <f aca="false">I18+E19</f>
        <v>115208.333333333</v>
      </c>
      <c r="J19" s="24" t="n">
        <f aca="false">J18+F19</f>
        <v>93333.3333333333</v>
      </c>
    </row>
    <row r="20" customFormat="false" ht="15" hidden="false" customHeight="true" outlineLevel="0" collapsed="false">
      <c r="B20" s="47" t="n">
        <v>17</v>
      </c>
      <c r="C20" s="47" t="n">
        <v>2</v>
      </c>
      <c r="D20" s="22" t="n">
        <f aca="false">H19</f>
        <v>3406666.66666666</v>
      </c>
      <c r="E20" s="22" t="n">
        <f aca="false">D20*Assumptions!D10/12</f>
        <v>7097.22222222222</v>
      </c>
      <c r="F20" s="22" t="n">
        <f aca="false">Assumptions!D6*Assumptions!D12/12</f>
        <v>5833.33333333333</v>
      </c>
      <c r="G20" s="22" t="n">
        <f aca="false">E20+F20</f>
        <v>12930.5555555556</v>
      </c>
      <c r="H20" s="22" t="n">
        <f aca="false">D20-F20</f>
        <v>3400833.33333333</v>
      </c>
      <c r="I20" s="22" t="n">
        <f aca="false">I19+E20</f>
        <v>122305.555555556</v>
      </c>
      <c r="J20" s="22" t="n">
        <f aca="false">J19+F20</f>
        <v>99166.6666666667</v>
      </c>
    </row>
    <row r="21" customFormat="false" ht="15" hidden="false" customHeight="true" outlineLevel="0" collapsed="false">
      <c r="B21" s="49" t="n">
        <v>18</v>
      </c>
      <c r="C21" s="49" t="n">
        <v>2</v>
      </c>
      <c r="D21" s="24" t="n">
        <f aca="false">H20</f>
        <v>3400833.33333333</v>
      </c>
      <c r="E21" s="24" t="n">
        <f aca="false">D21*Assumptions!D10/12</f>
        <v>7085.06944444444</v>
      </c>
      <c r="F21" s="24" t="n">
        <f aca="false">Assumptions!D6*Assumptions!D12/12</f>
        <v>5833.33333333333</v>
      </c>
      <c r="G21" s="24" t="n">
        <f aca="false">E21+F21</f>
        <v>12918.4027777778</v>
      </c>
      <c r="H21" s="24" t="n">
        <f aca="false">D21-F21</f>
        <v>3395000</v>
      </c>
      <c r="I21" s="24" t="n">
        <f aca="false">I20+E21</f>
        <v>129390.625</v>
      </c>
      <c r="J21" s="24" t="n">
        <f aca="false">J20+F21</f>
        <v>105000</v>
      </c>
    </row>
    <row r="22" customFormat="false" ht="15" hidden="false" customHeight="true" outlineLevel="0" collapsed="false">
      <c r="B22" s="47" t="n">
        <v>19</v>
      </c>
      <c r="C22" s="47" t="n">
        <v>2</v>
      </c>
      <c r="D22" s="22" t="n">
        <f aca="false">H21</f>
        <v>3395000</v>
      </c>
      <c r="E22" s="22" t="n">
        <f aca="false">D22*Assumptions!D10/12</f>
        <v>7072.91666666666</v>
      </c>
      <c r="F22" s="22" t="n">
        <f aca="false">Assumptions!D6*Assumptions!D12/12</f>
        <v>5833.33333333333</v>
      </c>
      <c r="G22" s="22" t="n">
        <f aca="false">E22+F22</f>
        <v>12906.25</v>
      </c>
      <c r="H22" s="22" t="n">
        <f aca="false">D22-F22</f>
        <v>3389166.66666666</v>
      </c>
      <c r="I22" s="22" t="n">
        <f aca="false">I21+E22</f>
        <v>136463.541666667</v>
      </c>
      <c r="J22" s="22" t="n">
        <f aca="false">J21+F22</f>
        <v>110833.333333333</v>
      </c>
    </row>
    <row r="23" customFormat="false" ht="15" hidden="false" customHeight="true" outlineLevel="0" collapsed="false">
      <c r="B23" s="49" t="n">
        <v>20</v>
      </c>
      <c r="C23" s="49" t="n">
        <v>2</v>
      </c>
      <c r="D23" s="24" t="n">
        <f aca="false">H22</f>
        <v>3389166.66666666</v>
      </c>
      <c r="E23" s="24" t="n">
        <f aca="false">D23*Assumptions!D10/12</f>
        <v>7060.76388888888</v>
      </c>
      <c r="F23" s="24" t="n">
        <f aca="false">Assumptions!D6*Assumptions!D12/12</f>
        <v>5833.33333333333</v>
      </c>
      <c r="G23" s="24" t="n">
        <f aca="false">E23+F23</f>
        <v>12894.0972222222</v>
      </c>
      <c r="H23" s="24" t="n">
        <f aca="false">D23-F23</f>
        <v>3383333.33333333</v>
      </c>
      <c r="I23" s="24" t="n">
        <f aca="false">I22+E23</f>
        <v>143524.305555556</v>
      </c>
      <c r="J23" s="24" t="n">
        <f aca="false">J22+F23</f>
        <v>116666.666666667</v>
      </c>
    </row>
    <row r="24" customFormat="false" ht="15" hidden="false" customHeight="true" outlineLevel="0" collapsed="false">
      <c r="B24" s="47" t="n">
        <v>21</v>
      </c>
      <c r="C24" s="47" t="n">
        <v>2</v>
      </c>
      <c r="D24" s="22" t="n">
        <f aca="false">H23</f>
        <v>3383333.33333333</v>
      </c>
      <c r="E24" s="22" t="n">
        <f aca="false">D24*Assumptions!D10/12</f>
        <v>7048.61111111111</v>
      </c>
      <c r="F24" s="22" t="n">
        <f aca="false">Assumptions!D6*Assumptions!D12/12</f>
        <v>5833.33333333333</v>
      </c>
      <c r="G24" s="22" t="n">
        <f aca="false">E24+F24</f>
        <v>12881.9444444444</v>
      </c>
      <c r="H24" s="22" t="n">
        <f aca="false">D24-F24</f>
        <v>3377500</v>
      </c>
      <c r="I24" s="22" t="n">
        <f aca="false">I23+E24</f>
        <v>150572.916666667</v>
      </c>
      <c r="J24" s="22" t="n">
        <f aca="false">J23+F24</f>
        <v>122500</v>
      </c>
    </row>
    <row r="25" customFormat="false" ht="15" hidden="false" customHeight="true" outlineLevel="0" collapsed="false">
      <c r="B25" s="49" t="n">
        <v>22</v>
      </c>
      <c r="C25" s="49" t="n">
        <v>2</v>
      </c>
      <c r="D25" s="24" t="n">
        <f aca="false">H24</f>
        <v>3377500</v>
      </c>
      <c r="E25" s="24" t="n">
        <f aca="false">D25*Assumptions!D10/12</f>
        <v>7036.45833333333</v>
      </c>
      <c r="F25" s="24" t="n">
        <f aca="false">Assumptions!D6*Assumptions!D12/12</f>
        <v>5833.33333333333</v>
      </c>
      <c r="G25" s="24" t="n">
        <f aca="false">E25+F25</f>
        <v>12869.7916666667</v>
      </c>
      <c r="H25" s="24" t="n">
        <f aca="false">D25-F25</f>
        <v>3371666.66666666</v>
      </c>
      <c r="I25" s="24" t="n">
        <f aca="false">I24+E25</f>
        <v>157609.375</v>
      </c>
      <c r="J25" s="24" t="n">
        <f aca="false">J24+F25</f>
        <v>128333.333333333</v>
      </c>
    </row>
    <row r="26" customFormat="false" ht="15" hidden="false" customHeight="true" outlineLevel="0" collapsed="false">
      <c r="B26" s="47" t="n">
        <v>23</v>
      </c>
      <c r="C26" s="47" t="n">
        <v>2</v>
      </c>
      <c r="D26" s="22" t="n">
        <f aca="false">H25</f>
        <v>3371666.66666666</v>
      </c>
      <c r="E26" s="22" t="n">
        <f aca="false">D26*Assumptions!D10/12</f>
        <v>7024.30555555555</v>
      </c>
      <c r="F26" s="22" t="n">
        <f aca="false">Assumptions!D6*Assumptions!D12/12</f>
        <v>5833.33333333333</v>
      </c>
      <c r="G26" s="22" t="n">
        <f aca="false">E26+F26</f>
        <v>12857.6388888889</v>
      </c>
      <c r="H26" s="22" t="n">
        <f aca="false">D26-F26</f>
        <v>3365833.33333333</v>
      </c>
      <c r="I26" s="22" t="n">
        <f aca="false">I25+E26</f>
        <v>164633.680555555</v>
      </c>
      <c r="J26" s="22" t="n">
        <f aca="false">J25+F26</f>
        <v>134166.666666667</v>
      </c>
    </row>
    <row r="27" customFormat="false" ht="15" hidden="false" customHeight="true" outlineLevel="0" collapsed="false">
      <c r="B27" s="49" t="n">
        <v>24</v>
      </c>
      <c r="C27" s="49" t="n">
        <v>2</v>
      </c>
      <c r="D27" s="24" t="n">
        <f aca="false">H26</f>
        <v>3365833.33333333</v>
      </c>
      <c r="E27" s="24" t="n">
        <f aca="false">D27*Assumptions!D10/12</f>
        <v>7012.15277777777</v>
      </c>
      <c r="F27" s="24" t="n">
        <f aca="false">Assumptions!D6*Assumptions!D12/12</f>
        <v>5833.33333333333</v>
      </c>
      <c r="G27" s="24" t="n">
        <f aca="false">E27+F27</f>
        <v>12845.4861111111</v>
      </c>
      <c r="H27" s="24" t="n">
        <f aca="false">D27-F27</f>
        <v>3360000</v>
      </c>
      <c r="I27" s="24" t="n">
        <f aca="false">I26+E27</f>
        <v>171645.833333333</v>
      </c>
      <c r="J27" s="24" t="n">
        <f aca="false">J26+F27</f>
        <v>140000</v>
      </c>
    </row>
    <row r="28" customFormat="false" ht="15" hidden="false" customHeight="true" outlineLevel="0" collapsed="false">
      <c r="B28" s="47" t="n">
        <v>25</v>
      </c>
      <c r="C28" s="47" t="n">
        <v>3</v>
      </c>
      <c r="D28" s="22" t="n">
        <f aca="false">H27</f>
        <v>3360000</v>
      </c>
      <c r="E28" s="22" t="n">
        <f aca="false">D28*Assumptions!D10/12</f>
        <v>6999.99999999999</v>
      </c>
      <c r="F28" s="22" t="n">
        <f aca="false">Assumptions!D6*Assumptions!D12/12</f>
        <v>5833.33333333333</v>
      </c>
      <c r="G28" s="22" t="n">
        <f aca="false">E28+F28</f>
        <v>12833.3333333333</v>
      </c>
      <c r="H28" s="22" t="n">
        <f aca="false">D28-F28</f>
        <v>3354166.66666666</v>
      </c>
      <c r="I28" s="22" t="n">
        <f aca="false">I27+E28</f>
        <v>178645.833333333</v>
      </c>
      <c r="J28" s="22" t="n">
        <f aca="false">J27+F28</f>
        <v>145833.333333333</v>
      </c>
    </row>
    <row r="29" customFormat="false" ht="15" hidden="false" customHeight="true" outlineLevel="0" collapsed="false">
      <c r="B29" s="49" t="n">
        <v>26</v>
      </c>
      <c r="C29" s="49" t="n">
        <v>3</v>
      </c>
      <c r="D29" s="24" t="n">
        <f aca="false">H28</f>
        <v>3354166.66666666</v>
      </c>
      <c r="E29" s="24" t="n">
        <f aca="false">D29*Assumptions!D10/12</f>
        <v>6987.84722222221</v>
      </c>
      <c r="F29" s="24" t="n">
        <f aca="false">Assumptions!D6*Assumptions!D12/12</f>
        <v>5833.33333333333</v>
      </c>
      <c r="G29" s="24" t="n">
        <f aca="false">E29+F29</f>
        <v>12821.1805555555</v>
      </c>
      <c r="H29" s="24" t="n">
        <f aca="false">D29-F29</f>
        <v>3348333.33333333</v>
      </c>
      <c r="I29" s="24" t="n">
        <f aca="false">I28+E29</f>
        <v>185633.680555555</v>
      </c>
      <c r="J29" s="24" t="n">
        <f aca="false">J28+F29</f>
        <v>151666.666666667</v>
      </c>
    </row>
    <row r="30" customFormat="false" ht="15" hidden="false" customHeight="true" outlineLevel="0" collapsed="false">
      <c r="B30" s="47" t="n">
        <v>27</v>
      </c>
      <c r="C30" s="47" t="n">
        <v>3</v>
      </c>
      <c r="D30" s="22" t="n">
        <f aca="false">H29</f>
        <v>3348333.33333333</v>
      </c>
      <c r="E30" s="22" t="n">
        <f aca="false">D30*Assumptions!D10/12</f>
        <v>6975.69444444444</v>
      </c>
      <c r="F30" s="22" t="n">
        <f aca="false">Assumptions!D6*Assumptions!D12/12</f>
        <v>5833.33333333333</v>
      </c>
      <c r="G30" s="22" t="n">
        <f aca="false">E30+F30</f>
        <v>12809.0277777778</v>
      </c>
      <c r="H30" s="22" t="n">
        <f aca="false">D30-F30</f>
        <v>3342500</v>
      </c>
      <c r="I30" s="22" t="n">
        <f aca="false">I29+E30</f>
        <v>192609.375</v>
      </c>
      <c r="J30" s="22" t="n">
        <f aca="false">J29+F30</f>
        <v>157500</v>
      </c>
    </row>
    <row r="31" customFormat="false" ht="15" hidden="false" customHeight="true" outlineLevel="0" collapsed="false">
      <c r="B31" s="49" t="n">
        <v>28</v>
      </c>
      <c r="C31" s="49" t="n">
        <v>3</v>
      </c>
      <c r="D31" s="24" t="n">
        <f aca="false">H30</f>
        <v>3342500</v>
      </c>
      <c r="E31" s="24" t="n">
        <f aca="false">D31*Assumptions!D10/12</f>
        <v>6963.54166666666</v>
      </c>
      <c r="F31" s="24" t="n">
        <f aca="false">Assumptions!D6*Assumptions!D12/12</f>
        <v>5833.33333333333</v>
      </c>
      <c r="G31" s="24" t="n">
        <f aca="false">E31+F31</f>
        <v>12796.875</v>
      </c>
      <c r="H31" s="24" t="n">
        <f aca="false">D31-F31</f>
        <v>3336666.66666666</v>
      </c>
      <c r="I31" s="24" t="n">
        <f aca="false">I30+E31</f>
        <v>199572.916666667</v>
      </c>
      <c r="J31" s="24" t="n">
        <f aca="false">J30+F31</f>
        <v>163333.333333333</v>
      </c>
    </row>
    <row r="32" customFormat="false" ht="15" hidden="false" customHeight="true" outlineLevel="0" collapsed="false">
      <c r="B32" s="47" t="n">
        <v>29</v>
      </c>
      <c r="C32" s="47" t="n">
        <v>3</v>
      </c>
      <c r="D32" s="22" t="n">
        <f aca="false">H31</f>
        <v>3336666.66666666</v>
      </c>
      <c r="E32" s="22" t="n">
        <f aca="false">D32*Assumptions!D10/12</f>
        <v>6951.38888888888</v>
      </c>
      <c r="F32" s="22" t="n">
        <f aca="false">Assumptions!D6*Assumptions!D12/12</f>
        <v>5833.33333333333</v>
      </c>
      <c r="G32" s="22" t="n">
        <f aca="false">E32+F32</f>
        <v>12784.7222222222</v>
      </c>
      <c r="H32" s="22" t="n">
        <f aca="false">D32-F32</f>
        <v>3330833.33333333</v>
      </c>
      <c r="I32" s="22" t="n">
        <f aca="false">I31+E32</f>
        <v>206524.305555555</v>
      </c>
      <c r="J32" s="22" t="n">
        <f aca="false">J31+F32</f>
        <v>169166.666666667</v>
      </c>
    </row>
    <row r="33" customFormat="false" ht="15" hidden="false" customHeight="true" outlineLevel="0" collapsed="false">
      <c r="B33" s="49" t="n">
        <v>30</v>
      </c>
      <c r="C33" s="49" t="n">
        <v>3</v>
      </c>
      <c r="D33" s="24" t="n">
        <f aca="false">H32</f>
        <v>3330833.33333333</v>
      </c>
      <c r="E33" s="24" t="n">
        <f aca="false">D33*Assumptions!D10/12</f>
        <v>6939.2361111111</v>
      </c>
      <c r="F33" s="24" t="n">
        <f aca="false">Assumptions!D6*Assumptions!D12/12</f>
        <v>5833.33333333333</v>
      </c>
      <c r="G33" s="24" t="n">
        <f aca="false">E33+F33</f>
        <v>12772.5694444444</v>
      </c>
      <c r="H33" s="24" t="n">
        <f aca="false">D33-F33</f>
        <v>3325000</v>
      </c>
      <c r="I33" s="24" t="n">
        <f aca="false">I32+E33</f>
        <v>213463.541666667</v>
      </c>
      <c r="J33" s="24" t="n">
        <f aca="false">J32+F33</f>
        <v>175000</v>
      </c>
    </row>
    <row r="34" customFormat="false" ht="15" hidden="false" customHeight="true" outlineLevel="0" collapsed="false">
      <c r="B34" s="47" t="n">
        <v>31</v>
      </c>
      <c r="C34" s="47" t="n">
        <v>3</v>
      </c>
      <c r="D34" s="22" t="n">
        <f aca="false">H33</f>
        <v>3325000</v>
      </c>
      <c r="E34" s="22" t="n">
        <f aca="false">D34*Assumptions!D10/12</f>
        <v>6927.08333333332</v>
      </c>
      <c r="F34" s="22" t="n">
        <f aca="false">Assumptions!D6*Assumptions!D12/12</f>
        <v>5833.33333333333</v>
      </c>
      <c r="G34" s="22" t="n">
        <f aca="false">E34+F34</f>
        <v>12760.4166666667</v>
      </c>
      <c r="H34" s="22" t="n">
        <f aca="false">D34-F34</f>
        <v>3319166.66666666</v>
      </c>
      <c r="I34" s="22" t="n">
        <f aca="false">I33+E34</f>
        <v>220390.625</v>
      </c>
      <c r="J34" s="22" t="n">
        <f aca="false">J33+F34</f>
        <v>180833.333333333</v>
      </c>
    </row>
    <row r="35" customFormat="false" ht="15" hidden="false" customHeight="true" outlineLevel="0" collapsed="false">
      <c r="B35" s="49" t="n">
        <v>32</v>
      </c>
      <c r="C35" s="49" t="n">
        <v>3</v>
      </c>
      <c r="D35" s="24" t="n">
        <f aca="false">H34</f>
        <v>3319166.66666666</v>
      </c>
      <c r="E35" s="24" t="n">
        <f aca="false">D35*Assumptions!D10/12</f>
        <v>6914.93055555555</v>
      </c>
      <c r="F35" s="24" t="n">
        <f aca="false">Assumptions!D6*Assumptions!D12/12</f>
        <v>5833.33333333333</v>
      </c>
      <c r="G35" s="24" t="n">
        <f aca="false">E35+F35</f>
        <v>12748.2638888889</v>
      </c>
      <c r="H35" s="24" t="n">
        <f aca="false">D35-F35</f>
        <v>3313333.33333333</v>
      </c>
      <c r="I35" s="24" t="n">
        <f aca="false">I34+E35</f>
        <v>227305.555555555</v>
      </c>
      <c r="J35" s="24" t="n">
        <f aca="false">J34+F35</f>
        <v>186666.666666667</v>
      </c>
    </row>
    <row r="36" customFormat="false" ht="15" hidden="false" customHeight="true" outlineLevel="0" collapsed="false">
      <c r="B36" s="47" t="n">
        <v>33</v>
      </c>
      <c r="C36" s="47" t="n">
        <v>3</v>
      </c>
      <c r="D36" s="22" t="n">
        <f aca="false">H35</f>
        <v>3313333.33333333</v>
      </c>
      <c r="E36" s="22" t="n">
        <f aca="false">D36*Assumptions!D10/12</f>
        <v>6902.77777777777</v>
      </c>
      <c r="F36" s="22" t="n">
        <f aca="false">Assumptions!D6*Assumptions!D12/12</f>
        <v>5833.33333333333</v>
      </c>
      <c r="G36" s="22" t="n">
        <f aca="false">E36+F36</f>
        <v>12736.1111111111</v>
      </c>
      <c r="H36" s="22" t="n">
        <f aca="false">D36-F36</f>
        <v>3307500</v>
      </c>
      <c r="I36" s="22" t="n">
        <f aca="false">I35+E36</f>
        <v>234208.333333333</v>
      </c>
      <c r="J36" s="22" t="n">
        <f aca="false">J35+F36</f>
        <v>192500</v>
      </c>
    </row>
    <row r="37" customFormat="false" ht="15" hidden="false" customHeight="true" outlineLevel="0" collapsed="false">
      <c r="B37" s="49" t="n">
        <v>34</v>
      </c>
      <c r="C37" s="49" t="n">
        <v>3</v>
      </c>
      <c r="D37" s="24" t="n">
        <f aca="false">H36</f>
        <v>3307500</v>
      </c>
      <c r="E37" s="24" t="n">
        <f aca="false">D37*Assumptions!D10/12</f>
        <v>6890.62499999999</v>
      </c>
      <c r="F37" s="24" t="n">
        <f aca="false">Assumptions!D6*Assumptions!D12/12</f>
        <v>5833.33333333333</v>
      </c>
      <c r="G37" s="24" t="n">
        <f aca="false">E37+F37</f>
        <v>12723.9583333333</v>
      </c>
      <c r="H37" s="24" t="n">
        <f aca="false">D37-F37</f>
        <v>3301666.66666666</v>
      </c>
      <c r="I37" s="24" t="n">
        <f aca="false">I36+E37</f>
        <v>241098.958333333</v>
      </c>
      <c r="J37" s="24" t="n">
        <f aca="false">J36+F37</f>
        <v>198333.333333333</v>
      </c>
    </row>
    <row r="38" customFormat="false" ht="15" hidden="false" customHeight="true" outlineLevel="0" collapsed="false">
      <c r="B38" s="47" t="n">
        <v>35</v>
      </c>
      <c r="C38" s="47" t="n">
        <v>3</v>
      </c>
      <c r="D38" s="22" t="n">
        <f aca="false">H37</f>
        <v>3301666.66666666</v>
      </c>
      <c r="E38" s="22" t="n">
        <f aca="false">D38*Assumptions!D10/12</f>
        <v>6878.47222222221</v>
      </c>
      <c r="F38" s="22" t="n">
        <f aca="false">Assumptions!D6*Assumptions!D12/12</f>
        <v>5833.33333333333</v>
      </c>
      <c r="G38" s="22" t="n">
        <f aca="false">E38+F38</f>
        <v>12711.8055555555</v>
      </c>
      <c r="H38" s="22" t="n">
        <f aca="false">D38-F38</f>
        <v>3295833.33333333</v>
      </c>
      <c r="I38" s="22" t="n">
        <f aca="false">I37+E38</f>
        <v>247977.430555555</v>
      </c>
      <c r="J38" s="22" t="n">
        <f aca="false">J37+F38</f>
        <v>204166.666666667</v>
      </c>
    </row>
    <row r="39" customFormat="false" ht="15" hidden="false" customHeight="true" outlineLevel="0" collapsed="false">
      <c r="B39" s="49" t="n">
        <v>36</v>
      </c>
      <c r="C39" s="49" t="n">
        <v>3</v>
      </c>
      <c r="D39" s="24" t="n">
        <f aca="false">H38</f>
        <v>3295833.33333333</v>
      </c>
      <c r="E39" s="24" t="n">
        <f aca="false">D39*Assumptions!D10/12</f>
        <v>6866.31944444443</v>
      </c>
      <c r="F39" s="24" t="n">
        <f aca="false">Assumptions!D6*Assumptions!D12/12</f>
        <v>5833.33333333333</v>
      </c>
      <c r="G39" s="24" t="n">
        <f aca="false">E39+F39</f>
        <v>12699.6527777778</v>
      </c>
      <c r="H39" s="24" t="n">
        <f aca="false">D39-F39</f>
        <v>3289999.99999999</v>
      </c>
      <c r="I39" s="24" t="n">
        <f aca="false">I38+E39</f>
        <v>254843.75</v>
      </c>
      <c r="J39" s="24" t="n">
        <f aca="false">J38+F39</f>
        <v>210000</v>
      </c>
    </row>
    <row r="40" customFormat="false" ht="15" hidden="false" customHeight="true" outlineLevel="0" collapsed="false">
      <c r="B40" s="47" t="n">
        <v>37</v>
      </c>
      <c r="C40" s="47" t="n">
        <v>4</v>
      </c>
      <c r="D40" s="22" t="n">
        <f aca="false">H39</f>
        <v>3289999.99999999</v>
      </c>
      <c r="E40" s="22" t="n">
        <f aca="false">D40*Assumptions!D10/12</f>
        <v>6854.16666666666</v>
      </c>
      <c r="F40" s="22" t="n">
        <f aca="false">Assumptions!D6*Assumptions!D12/12</f>
        <v>5833.33333333333</v>
      </c>
      <c r="G40" s="22" t="n">
        <f aca="false">E40+F40</f>
        <v>12687.5</v>
      </c>
      <c r="H40" s="22" t="n">
        <f aca="false">D40-F40</f>
        <v>3284166.66666666</v>
      </c>
      <c r="I40" s="22" t="n">
        <f aca="false">I39+E40</f>
        <v>261697.916666666</v>
      </c>
      <c r="J40" s="22" t="n">
        <f aca="false">J39+F40</f>
        <v>215833.333333333</v>
      </c>
    </row>
    <row r="41" customFormat="false" ht="15" hidden="false" customHeight="true" outlineLevel="0" collapsed="false">
      <c r="B41" s="49" t="n">
        <v>38</v>
      </c>
      <c r="C41" s="49" t="n">
        <v>4</v>
      </c>
      <c r="D41" s="24" t="n">
        <f aca="false">H40</f>
        <v>3284166.66666666</v>
      </c>
      <c r="E41" s="24" t="n">
        <f aca="false">D41*Assumptions!D10/12</f>
        <v>6842.01388888888</v>
      </c>
      <c r="F41" s="24" t="n">
        <f aca="false">Assumptions!D6*Assumptions!D12/12</f>
        <v>5833.33333333333</v>
      </c>
      <c r="G41" s="24" t="n">
        <f aca="false">E41+F41</f>
        <v>12675.3472222222</v>
      </c>
      <c r="H41" s="24" t="n">
        <f aca="false">D41-F41</f>
        <v>3278333.33333333</v>
      </c>
      <c r="I41" s="24" t="n">
        <f aca="false">I40+E41</f>
        <v>268539.930555555</v>
      </c>
      <c r="J41" s="24" t="n">
        <f aca="false">J40+F41</f>
        <v>221666.666666667</v>
      </c>
    </row>
    <row r="42" customFormat="false" ht="15" hidden="false" customHeight="true" outlineLevel="0" collapsed="false">
      <c r="B42" s="47" t="n">
        <v>39</v>
      </c>
      <c r="C42" s="47" t="n">
        <v>4</v>
      </c>
      <c r="D42" s="22" t="n">
        <f aca="false">H41</f>
        <v>3278333.33333333</v>
      </c>
      <c r="E42" s="22" t="n">
        <f aca="false">D42*Assumptions!D10/12</f>
        <v>6829.8611111111</v>
      </c>
      <c r="F42" s="22" t="n">
        <f aca="false">Assumptions!D6*Assumptions!D12/12</f>
        <v>5833.33333333333</v>
      </c>
      <c r="G42" s="22" t="n">
        <f aca="false">E42+F42</f>
        <v>12663.1944444444</v>
      </c>
      <c r="H42" s="22" t="n">
        <f aca="false">D42-F42</f>
        <v>3272499.99999999</v>
      </c>
      <c r="I42" s="22" t="n">
        <f aca="false">I41+E42</f>
        <v>275369.791666667</v>
      </c>
      <c r="J42" s="22" t="n">
        <f aca="false">J41+F42</f>
        <v>227500</v>
      </c>
    </row>
    <row r="43" customFormat="false" ht="15" hidden="false" customHeight="true" outlineLevel="0" collapsed="false">
      <c r="B43" s="49" t="n">
        <v>40</v>
      </c>
      <c r="C43" s="49" t="n">
        <v>4</v>
      </c>
      <c r="D43" s="24" t="n">
        <f aca="false">H42</f>
        <v>3272499.99999999</v>
      </c>
      <c r="E43" s="24" t="n">
        <f aca="false">D43*Assumptions!D10/12</f>
        <v>6817.70833333332</v>
      </c>
      <c r="F43" s="24" t="n">
        <f aca="false">Assumptions!D6*Assumptions!D12/12</f>
        <v>5833.33333333333</v>
      </c>
      <c r="G43" s="24" t="n">
        <f aca="false">E43+F43</f>
        <v>12651.0416666667</v>
      </c>
      <c r="H43" s="24" t="n">
        <f aca="false">D43-F43</f>
        <v>3266666.66666666</v>
      </c>
      <c r="I43" s="24" t="n">
        <f aca="false">I42+E43</f>
        <v>282187.5</v>
      </c>
      <c r="J43" s="24" t="n">
        <f aca="false">J42+F43</f>
        <v>233333.333333333</v>
      </c>
    </row>
    <row r="44" customFormat="false" ht="15" hidden="false" customHeight="true" outlineLevel="0" collapsed="false">
      <c r="B44" s="47" t="n">
        <v>41</v>
      </c>
      <c r="C44" s="47" t="n">
        <v>4</v>
      </c>
      <c r="D44" s="22" t="n">
        <f aca="false">H43</f>
        <v>3266666.66666666</v>
      </c>
      <c r="E44" s="22" t="n">
        <f aca="false">D44*Assumptions!D10/12</f>
        <v>6805.55555555554</v>
      </c>
      <c r="F44" s="22" t="n">
        <f aca="false">Assumptions!D6*Assumptions!D12/12</f>
        <v>5833.33333333333</v>
      </c>
      <c r="G44" s="22" t="n">
        <f aca="false">E44+F44</f>
        <v>12638.8888888889</v>
      </c>
      <c r="H44" s="22" t="n">
        <f aca="false">D44-F44</f>
        <v>3260833.33333333</v>
      </c>
      <c r="I44" s="22" t="n">
        <f aca="false">I43+E44</f>
        <v>288993.055555555</v>
      </c>
      <c r="J44" s="22" t="n">
        <f aca="false">J43+F44</f>
        <v>239166.666666667</v>
      </c>
    </row>
    <row r="45" customFormat="false" ht="15" hidden="false" customHeight="true" outlineLevel="0" collapsed="false">
      <c r="B45" s="49" t="n">
        <v>42</v>
      </c>
      <c r="C45" s="49" t="n">
        <v>4</v>
      </c>
      <c r="D45" s="24" t="n">
        <f aca="false">H44</f>
        <v>3260833.33333333</v>
      </c>
      <c r="E45" s="24" t="n">
        <f aca="false">D45*Assumptions!D10/12</f>
        <v>6793.40277777777</v>
      </c>
      <c r="F45" s="24" t="n">
        <f aca="false">Assumptions!D6*Assumptions!D12/12</f>
        <v>5833.33333333333</v>
      </c>
      <c r="G45" s="24" t="n">
        <f aca="false">E45+F45</f>
        <v>12626.7361111111</v>
      </c>
      <c r="H45" s="24" t="n">
        <f aca="false">D45-F45</f>
        <v>3254999.99999999</v>
      </c>
      <c r="I45" s="24" t="n">
        <f aca="false">I44+E45</f>
        <v>295786.458333333</v>
      </c>
      <c r="J45" s="24" t="n">
        <f aca="false">J44+F45</f>
        <v>245000</v>
      </c>
    </row>
    <row r="46" customFormat="false" ht="15" hidden="false" customHeight="true" outlineLevel="0" collapsed="false">
      <c r="B46" s="47" t="n">
        <v>43</v>
      </c>
      <c r="C46" s="47" t="n">
        <v>4</v>
      </c>
      <c r="D46" s="22" t="n">
        <f aca="false">H45</f>
        <v>3254999.99999999</v>
      </c>
      <c r="E46" s="22" t="n">
        <f aca="false">D46*Assumptions!D10/12</f>
        <v>6781.24999999999</v>
      </c>
      <c r="F46" s="22" t="n">
        <f aca="false">Assumptions!D6*Assumptions!D12/12</f>
        <v>5833.33333333333</v>
      </c>
      <c r="G46" s="22" t="n">
        <f aca="false">E46+F46</f>
        <v>12614.5833333333</v>
      </c>
      <c r="H46" s="22" t="n">
        <f aca="false">D46-F46</f>
        <v>3249166.66666666</v>
      </c>
      <c r="I46" s="22" t="n">
        <f aca="false">I45+E46</f>
        <v>302567.708333333</v>
      </c>
      <c r="J46" s="22" t="n">
        <f aca="false">J45+F46</f>
        <v>250833.333333334</v>
      </c>
    </row>
    <row r="47" customFormat="false" ht="15" hidden="false" customHeight="true" outlineLevel="0" collapsed="false">
      <c r="B47" s="49" t="n">
        <v>44</v>
      </c>
      <c r="C47" s="49" t="n">
        <v>4</v>
      </c>
      <c r="D47" s="24" t="n">
        <f aca="false">H46</f>
        <v>3249166.66666666</v>
      </c>
      <c r="E47" s="24" t="n">
        <f aca="false">D47*Assumptions!D10/12</f>
        <v>6769.09722222221</v>
      </c>
      <c r="F47" s="24" t="n">
        <f aca="false">Assumptions!D6*Assumptions!D12/12</f>
        <v>5833.33333333333</v>
      </c>
      <c r="G47" s="24" t="n">
        <f aca="false">E47+F47</f>
        <v>12602.4305555555</v>
      </c>
      <c r="H47" s="24" t="n">
        <f aca="false">D47-F47</f>
        <v>3243333.33333333</v>
      </c>
      <c r="I47" s="24" t="n">
        <f aca="false">I46+E47</f>
        <v>309336.805555555</v>
      </c>
      <c r="J47" s="24" t="n">
        <f aca="false">J46+F47</f>
        <v>256666.666666667</v>
      </c>
    </row>
    <row r="48" customFormat="false" ht="15" hidden="false" customHeight="true" outlineLevel="0" collapsed="false">
      <c r="B48" s="47" t="n">
        <v>45</v>
      </c>
      <c r="C48" s="47" t="n">
        <v>4</v>
      </c>
      <c r="D48" s="22" t="n">
        <f aca="false">H47</f>
        <v>3243333.33333333</v>
      </c>
      <c r="E48" s="22" t="n">
        <f aca="false">D48*Assumptions!D10/12</f>
        <v>6756.94444444443</v>
      </c>
      <c r="F48" s="22" t="n">
        <f aca="false">Assumptions!D6*Assumptions!D12/12</f>
        <v>5833.33333333333</v>
      </c>
      <c r="G48" s="22" t="n">
        <f aca="false">E48+F48</f>
        <v>12590.2777777778</v>
      </c>
      <c r="H48" s="22" t="n">
        <f aca="false">D48-F48</f>
        <v>3237499.99999999</v>
      </c>
      <c r="I48" s="22" t="n">
        <f aca="false">I47+E48</f>
        <v>316093.75</v>
      </c>
      <c r="J48" s="22" t="n">
        <f aca="false">J47+F48</f>
        <v>262500</v>
      </c>
    </row>
    <row r="49" customFormat="false" ht="15" hidden="false" customHeight="true" outlineLevel="0" collapsed="false">
      <c r="B49" s="49" t="n">
        <v>46</v>
      </c>
      <c r="C49" s="49" t="n">
        <v>4</v>
      </c>
      <c r="D49" s="24" t="n">
        <f aca="false">H48</f>
        <v>3237499.99999999</v>
      </c>
      <c r="E49" s="24" t="n">
        <f aca="false">D49*Assumptions!D10/12</f>
        <v>6744.79166666665</v>
      </c>
      <c r="F49" s="24" t="n">
        <f aca="false">Assumptions!D6*Assumptions!D12/12</f>
        <v>5833.33333333333</v>
      </c>
      <c r="G49" s="24" t="n">
        <f aca="false">E49+F49</f>
        <v>12578.125</v>
      </c>
      <c r="H49" s="24" t="n">
        <f aca="false">D49-F49</f>
        <v>3231666.66666666</v>
      </c>
      <c r="I49" s="24" t="n">
        <f aca="false">I48+E49</f>
        <v>322838.541666666</v>
      </c>
      <c r="J49" s="24" t="n">
        <f aca="false">J48+F49</f>
        <v>268333.333333334</v>
      </c>
    </row>
    <row r="50" customFormat="false" ht="15" hidden="false" customHeight="true" outlineLevel="0" collapsed="false">
      <c r="B50" s="47" t="n">
        <v>47</v>
      </c>
      <c r="C50" s="47" t="n">
        <v>4</v>
      </c>
      <c r="D50" s="22" t="n">
        <f aca="false">H49</f>
        <v>3231666.66666666</v>
      </c>
      <c r="E50" s="22" t="n">
        <f aca="false">D50*Assumptions!D10/12</f>
        <v>6732.63888888888</v>
      </c>
      <c r="F50" s="22" t="n">
        <f aca="false">Assumptions!D6*Assumptions!D12/12</f>
        <v>5833.33333333333</v>
      </c>
      <c r="G50" s="22" t="n">
        <f aca="false">E50+F50</f>
        <v>12565.9722222222</v>
      </c>
      <c r="H50" s="22" t="n">
        <f aca="false">D50-F50</f>
        <v>3225833.33333333</v>
      </c>
      <c r="I50" s="22" t="n">
        <f aca="false">I49+E50</f>
        <v>329571.180555555</v>
      </c>
      <c r="J50" s="22" t="n">
        <f aca="false">J49+F50</f>
        <v>274166.666666667</v>
      </c>
    </row>
    <row r="51" customFormat="false" ht="15" hidden="false" customHeight="true" outlineLevel="0" collapsed="false">
      <c r="B51" s="49" t="n">
        <v>48</v>
      </c>
      <c r="C51" s="49" t="n">
        <v>4</v>
      </c>
      <c r="D51" s="24" t="n">
        <f aca="false">H50</f>
        <v>3225833.33333333</v>
      </c>
      <c r="E51" s="24" t="n">
        <f aca="false">D51*Assumptions!D10/12</f>
        <v>6720.4861111111</v>
      </c>
      <c r="F51" s="24" t="n">
        <f aca="false">Assumptions!D6*Assumptions!D12/12</f>
        <v>5833.33333333333</v>
      </c>
      <c r="G51" s="24" t="n">
        <f aca="false">E51+F51</f>
        <v>12553.8194444444</v>
      </c>
      <c r="H51" s="24" t="n">
        <f aca="false">D51-F51</f>
        <v>3219999.99999999</v>
      </c>
      <c r="I51" s="24" t="n">
        <f aca="false">I50+E51</f>
        <v>336291.666666666</v>
      </c>
      <c r="J51" s="24" t="n">
        <f aca="false">J50+F51</f>
        <v>280000</v>
      </c>
    </row>
    <row r="52" customFormat="false" ht="15" hidden="false" customHeight="true" outlineLevel="0" collapsed="false">
      <c r="B52" s="47" t="n">
        <v>49</v>
      </c>
      <c r="C52" s="47" t="n">
        <v>5</v>
      </c>
      <c r="D52" s="22" t="n">
        <f aca="false">H51</f>
        <v>3219999.99999999</v>
      </c>
      <c r="E52" s="22" t="n">
        <f aca="false">D52*Assumptions!D10/12</f>
        <v>6708.33333333332</v>
      </c>
      <c r="F52" s="22" t="n">
        <f aca="false">Assumptions!D6*Assumptions!D12/12</f>
        <v>5833.33333333333</v>
      </c>
      <c r="G52" s="22" t="n">
        <f aca="false">E52+F52</f>
        <v>12541.6666666667</v>
      </c>
      <c r="H52" s="22" t="n">
        <f aca="false">D52-F52</f>
        <v>3214166.66666666</v>
      </c>
      <c r="I52" s="22" t="n">
        <f aca="false">I51+E52</f>
        <v>343000</v>
      </c>
      <c r="J52" s="22" t="n">
        <f aca="false">J51+F52</f>
        <v>285833.333333333</v>
      </c>
    </row>
    <row r="53" customFormat="false" ht="15" hidden="false" customHeight="true" outlineLevel="0" collapsed="false">
      <c r="B53" s="49" t="n">
        <v>50</v>
      </c>
      <c r="C53" s="49" t="n">
        <v>5</v>
      </c>
      <c r="D53" s="24" t="n">
        <f aca="false">H52</f>
        <v>3214166.66666666</v>
      </c>
      <c r="E53" s="24" t="n">
        <f aca="false">D53*Assumptions!D10/12</f>
        <v>6696.18055555554</v>
      </c>
      <c r="F53" s="24" t="n">
        <f aca="false">Assumptions!D6*Assumptions!D12/12</f>
        <v>5833.33333333333</v>
      </c>
      <c r="G53" s="24" t="n">
        <f aca="false">E53+F53</f>
        <v>12529.5138888889</v>
      </c>
      <c r="H53" s="24" t="n">
        <f aca="false">D53-F53</f>
        <v>3208333.33333333</v>
      </c>
      <c r="I53" s="24" t="n">
        <f aca="false">I52+E53</f>
        <v>349696.180555555</v>
      </c>
      <c r="J53" s="24" t="n">
        <f aca="false">J52+F53</f>
        <v>291666.666666667</v>
      </c>
    </row>
    <row r="54" customFormat="false" ht="15" hidden="false" customHeight="true" outlineLevel="0" collapsed="false">
      <c r="B54" s="47" t="n">
        <v>51</v>
      </c>
      <c r="C54" s="47" t="n">
        <v>5</v>
      </c>
      <c r="D54" s="22" t="n">
        <f aca="false">H53</f>
        <v>3208333.33333333</v>
      </c>
      <c r="E54" s="22" t="n">
        <f aca="false">D54*Assumptions!D10/12</f>
        <v>6684.02777777776</v>
      </c>
      <c r="F54" s="22" t="n">
        <f aca="false">Assumptions!D6*Assumptions!D12/12</f>
        <v>5833.33333333333</v>
      </c>
      <c r="G54" s="22" t="n">
        <f aca="false">E54+F54</f>
        <v>12517.3611111111</v>
      </c>
      <c r="H54" s="22" t="n">
        <f aca="false">D54-F54</f>
        <v>3202499.99999999</v>
      </c>
      <c r="I54" s="22" t="n">
        <f aca="false">I53+E54</f>
        <v>356380.208333333</v>
      </c>
      <c r="J54" s="22" t="n">
        <f aca="false">J53+F54</f>
        <v>297500</v>
      </c>
    </row>
    <row r="55" customFormat="false" ht="15" hidden="false" customHeight="true" outlineLevel="0" collapsed="false">
      <c r="B55" s="49" t="n">
        <v>52</v>
      </c>
      <c r="C55" s="49" t="n">
        <v>5</v>
      </c>
      <c r="D55" s="24" t="n">
        <f aca="false">H54</f>
        <v>3202499.99999999</v>
      </c>
      <c r="E55" s="24" t="n">
        <f aca="false">D55*Assumptions!D10/12</f>
        <v>6671.87499999998</v>
      </c>
      <c r="F55" s="24" t="n">
        <f aca="false">Assumptions!D6*Assumptions!D12/12</f>
        <v>5833.33333333333</v>
      </c>
      <c r="G55" s="24" t="n">
        <f aca="false">E55+F55</f>
        <v>12505.2083333333</v>
      </c>
      <c r="H55" s="24" t="n">
        <f aca="false">D55-F55</f>
        <v>3196666.66666666</v>
      </c>
      <c r="I55" s="24" t="n">
        <f aca="false">I54+E55</f>
        <v>363052.083333333</v>
      </c>
      <c r="J55" s="24" t="n">
        <f aca="false">J54+F55</f>
        <v>303333.333333333</v>
      </c>
    </row>
    <row r="56" customFormat="false" ht="15" hidden="false" customHeight="true" outlineLevel="0" collapsed="false">
      <c r="B56" s="47" t="n">
        <v>53</v>
      </c>
      <c r="C56" s="47" t="n">
        <v>5</v>
      </c>
      <c r="D56" s="22" t="n">
        <f aca="false">H55</f>
        <v>3196666.66666666</v>
      </c>
      <c r="E56" s="22" t="n">
        <f aca="false">D56*Assumptions!D10/12</f>
        <v>6659.72222222221</v>
      </c>
      <c r="F56" s="22" t="n">
        <f aca="false">Assumptions!D6*Assumptions!D12/12</f>
        <v>5833.33333333333</v>
      </c>
      <c r="G56" s="22" t="n">
        <f aca="false">E56+F56</f>
        <v>12493.0555555555</v>
      </c>
      <c r="H56" s="22" t="n">
        <f aca="false">D56-F56</f>
        <v>3190833.33333333</v>
      </c>
      <c r="I56" s="22" t="n">
        <f aca="false">I55+E56</f>
        <v>369711.805555555</v>
      </c>
      <c r="J56" s="22" t="n">
        <f aca="false">J55+F56</f>
        <v>309166.666666667</v>
      </c>
    </row>
    <row r="57" customFormat="false" ht="15" hidden="false" customHeight="true" outlineLevel="0" collapsed="false">
      <c r="B57" s="49" t="n">
        <v>54</v>
      </c>
      <c r="C57" s="49" t="n">
        <v>5</v>
      </c>
      <c r="D57" s="24" t="n">
        <f aca="false">H56</f>
        <v>3190833.33333333</v>
      </c>
      <c r="E57" s="24" t="n">
        <f aca="false">D57*Assumptions!D10/12</f>
        <v>6647.56944444443</v>
      </c>
      <c r="F57" s="24" t="n">
        <f aca="false">Assumptions!D6*Assumptions!D12/12</f>
        <v>5833.33333333333</v>
      </c>
      <c r="G57" s="24" t="n">
        <f aca="false">E57+F57</f>
        <v>12480.9027777778</v>
      </c>
      <c r="H57" s="24" t="n">
        <f aca="false">D57-F57</f>
        <v>3184999.99999999</v>
      </c>
      <c r="I57" s="24" t="n">
        <f aca="false">I56+E57</f>
        <v>376359.375</v>
      </c>
      <c r="J57" s="24" t="n">
        <f aca="false">J56+F57</f>
        <v>315000</v>
      </c>
    </row>
    <row r="58" customFormat="false" ht="15" hidden="false" customHeight="true" outlineLevel="0" collapsed="false">
      <c r="B58" s="47" t="n">
        <v>55</v>
      </c>
      <c r="C58" s="47" t="n">
        <v>5</v>
      </c>
      <c r="D58" s="22" t="n">
        <f aca="false">H57</f>
        <v>3184999.99999999</v>
      </c>
      <c r="E58" s="22" t="n">
        <f aca="false">D58*Assumptions!D10/12</f>
        <v>6635.41666666665</v>
      </c>
      <c r="F58" s="22" t="n">
        <f aca="false">Assumptions!D6*Assumptions!D12/12</f>
        <v>5833.33333333333</v>
      </c>
      <c r="G58" s="22" t="n">
        <f aca="false">E58+F58</f>
        <v>12468.75</v>
      </c>
      <c r="H58" s="22" t="n">
        <f aca="false">D58-F58</f>
        <v>3179166.66666666</v>
      </c>
      <c r="I58" s="22" t="n">
        <f aca="false">I57+E58</f>
        <v>382994.791666666</v>
      </c>
      <c r="J58" s="22" t="n">
        <f aca="false">J57+F58</f>
        <v>320833.333333333</v>
      </c>
    </row>
    <row r="59" customFormat="false" ht="15" hidden="false" customHeight="true" outlineLevel="0" collapsed="false">
      <c r="B59" s="49" t="n">
        <v>56</v>
      </c>
      <c r="C59" s="49" t="n">
        <v>5</v>
      </c>
      <c r="D59" s="24" t="n">
        <f aca="false">H58</f>
        <v>3179166.66666666</v>
      </c>
      <c r="E59" s="24" t="n">
        <f aca="false">D59*Assumptions!D10/12</f>
        <v>6623.26388888887</v>
      </c>
      <c r="F59" s="24" t="n">
        <f aca="false">Assumptions!D6*Assumptions!D12/12</f>
        <v>5833.33333333333</v>
      </c>
      <c r="G59" s="24" t="n">
        <f aca="false">E59+F59</f>
        <v>12456.5972222222</v>
      </c>
      <c r="H59" s="24" t="n">
        <f aca="false">D59-F59</f>
        <v>3173333.33333332</v>
      </c>
      <c r="I59" s="24" t="n">
        <f aca="false">I58+E59</f>
        <v>389618.055555555</v>
      </c>
      <c r="J59" s="24" t="n">
        <f aca="false">J58+F59</f>
        <v>326666.666666667</v>
      </c>
    </row>
    <row r="60" customFormat="false" ht="15" hidden="false" customHeight="true" outlineLevel="0" collapsed="false">
      <c r="B60" s="47" t="n">
        <v>57</v>
      </c>
      <c r="C60" s="47" t="n">
        <v>5</v>
      </c>
      <c r="D60" s="22" t="n">
        <f aca="false">H59</f>
        <v>3173333.33333332</v>
      </c>
      <c r="E60" s="22" t="n">
        <f aca="false">D60*Assumptions!D10/12</f>
        <v>6611.11111111109</v>
      </c>
      <c r="F60" s="22" t="n">
        <f aca="false">Assumptions!D6*Assumptions!D12/12</f>
        <v>5833.33333333333</v>
      </c>
      <c r="G60" s="22" t="n">
        <f aca="false">E60+F60</f>
        <v>12444.4444444444</v>
      </c>
      <c r="H60" s="22" t="n">
        <f aca="false">D60-F60</f>
        <v>3167499.99999999</v>
      </c>
      <c r="I60" s="22" t="n">
        <f aca="false">I59+E60</f>
        <v>396229.166666666</v>
      </c>
      <c r="J60" s="22" t="n">
        <f aca="false">J59+F60</f>
        <v>332500</v>
      </c>
    </row>
    <row r="61" customFormat="false" ht="15" hidden="false" customHeight="true" outlineLevel="0" collapsed="false">
      <c r="B61" s="49" t="n">
        <v>58</v>
      </c>
      <c r="C61" s="49" t="n">
        <v>5</v>
      </c>
      <c r="D61" s="24" t="n">
        <f aca="false">H60</f>
        <v>3167499.99999999</v>
      </c>
      <c r="E61" s="24" t="n">
        <f aca="false">D61*Assumptions!D10/12</f>
        <v>6598.95833333332</v>
      </c>
      <c r="F61" s="24" t="n">
        <f aca="false">Assumptions!D6*Assumptions!D12/12</f>
        <v>5833.33333333333</v>
      </c>
      <c r="G61" s="24" t="n">
        <f aca="false">E61+F61</f>
        <v>12432.2916666666</v>
      </c>
      <c r="H61" s="24" t="n">
        <f aca="false">D61-F61</f>
        <v>3161666.66666666</v>
      </c>
      <c r="I61" s="24" t="n">
        <f aca="false">I60+E61</f>
        <v>402828.125</v>
      </c>
      <c r="J61" s="24" t="n">
        <f aca="false">J60+F61</f>
        <v>338333.333333333</v>
      </c>
    </row>
    <row r="62" customFormat="false" ht="15" hidden="false" customHeight="true" outlineLevel="0" collapsed="false">
      <c r="B62" s="47" t="n">
        <v>59</v>
      </c>
      <c r="C62" s="47" t="n">
        <v>5</v>
      </c>
      <c r="D62" s="22" t="n">
        <f aca="false">H61</f>
        <v>3161666.66666666</v>
      </c>
      <c r="E62" s="22" t="n">
        <f aca="false">D62*Assumptions!D10/12</f>
        <v>6586.80555555554</v>
      </c>
      <c r="F62" s="22" t="n">
        <f aca="false">Assumptions!D6*Assumptions!D12/12</f>
        <v>5833.33333333333</v>
      </c>
      <c r="G62" s="22" t="n">
        <f aca="false">E62+F62</f>
        <v>12420.1388888889</v>
      </c>
      <c r="H62" s="22" t="n">
        <f aca="false">D62-F62</f>
        <v>3155833.33333332</v>
      </c>
      <c r="I62" s="22" t="n">
        <f aca="false">I61+E62</f>
        <v>409414.930555555</v>
      </c>
      <c r="J62" s="22" t="n">
        <f aca="false">J61+F62</f>
        <v>344166.666666667</v>
      </c>
    </row>
    <row r="63" customFormat="false" ht="15" hidden="false" customHeight="true" outlineLevel="0" collapsed="false">
      <c r="B63" s="49" t="n">
        <v>60</v>
      </c>
      <c r="C63" s="49" t="n">
        <v>5</v>
      </c>
      <c r="D63" s="24" t="n">
        <f aca="false">H62</f>
        <v>3155833.33333332</v>
      </c>
      <c r="E63" s="24" t="n">
        <f aca="false">D63*Assumptions!D10/12</f>
        <v>6574.65277777776</v>
      </c>
      <c r="F63" s="24" t="n">
        <f aca="false">Assumptions!D6*Assumptions!D12/12</f>
        <v>5833.33333333333</v>
      </c>
      <c r="G63" s="24" t="n">
        <f aca="false">E63+F63</f>
        <v>12407.9861111111</v>
      </c>
      <c r="H63" s="24" t="n">
        <f aca="false">D63-F63</f>
        <v>3149999.99999999</v>
      </c>
      <c r="I63" s="24" t="n">
        <f aca="false">I62+E63</f>
        <v>415989.583333333</v>
      </c>
      <c r="J63" s="24" t="n">
        <f aca="false">J62+F63</f>
        <v>350000</v>
      </c>
    </row>
    <row r="64" customFormat="false" ht="15" hidden="false" customHeight="true" outlineLevel="0" collapsed="false">
      <c r="B64" s="47" t="n">
        <v>61</v>
      </c>
      <c r="C64" s="47" t="n">
        <v>6</v>
      </c>
      <c r="D64" s="22" t="n">
        <f aca="false">H63</f>
        <v>3149999.99999999</v>
      </c>
      <c r="E64" s="22" t="n">
        <f aca="false">D64*Assumptions!D10/12</f>
        <v>6562.49999999998</v>
      </c>
      <c r="F64" s="22" t="n">
        <f aca="false">Assumptions!D6*Assumptions!D12/12</f>
        <v>5833.33333333333</v>
      </c>
      <c r="G64" s="22" t="n">
        <f aca="false">E64+F64</f>
        <v>12395.8333333333</v>
      </c>
      <c r="H64" s="22" t="n">
        <f aca="false">D64-F64</f>
        <v>3144166.66666666</v>
      </c>
      <c r="I64" s="22" t="n">
        <f aca="false">I63+E64</f>
        <v>422552.083333333</v>
      </c>
      <c r="J64" s="22" t="n">
        <f aca="false">J63+F64</f>
        <v>355833.333333333</v>
      </c>
    </row>
    <row r="65" customFormat="false" ht="15" hidden="false" customHeight="true" outlineLevel="0" collapsed="false">
      <c r="B65" s="49" t="n">
        <v>62</v>
      </c>
      <c r="C65" s="49" t="n">
        <v>6</v>
      </c>
      <c r="D65" s="24" t="n">
        <f aca="false">H64</f>
        <v>3144166.66666666</v>
      </c>
      <c r="E65" s="24" t="n">
        <f aca="false">D65*Assumptions!D10/12</f>
        <v>6550.3472222222</v>
      </c>
      <c r="F65" s="24" t="n">
        <f aca="false">Assumptions!D6*Assumptions!D12/12</f>
        <v>5833.33333333333</v>
      </c>
      <c r="G65" s="24" t="n">
        <f aca="false">E65+F65</f>
        <v>12383.6805555555</v>
      </c>
      <c r="H65" s="24" t="n">
        <f aca="false">D65-F65</f>
        <v>3138333.33333332</v>
      </c>
      <c r="I65" s="24" t="n">
        <f aca="false">I64+E65</f>
        <v>429102.430555555</v>
      </c>
      <c r="J65" s="24" t="n">
        <f aca="false">J64+F65</f>
        <v>361666.666666667</v>
      </c>
    </row>
    <row r="66" customFormat="false" ht="15" hidden="false" customHeight="true" outlineLevel="0" collapsed="false">
      <c r="B66" s="47" t="n">
        <v>63</v>
      </c>
      <c r="C66" s="47" t="n">
        <v>6</v>
      </c>
      <c r="D66" s="22" t="n">
        <f aca="false">H65</f>
        <v>3138333.33333332</v>
      </c>
      <c r="E66" s="22" t="n">
        <f aca="false">D66*Assumptions!D10/12</f>
        <v>6538.19444444442</v>
      </c>
      <c r="F66" s="22" t="n">
        <f aca="false">Assumptions!D6*Assumptions!D12/12</f>
        <v>5833.33333333333</v>
      </c>
      <c r="G66" s="22" t="n">
        <f aca="false">E66+F66</f>
        <v>12371.5277777778</v>
      </c>
      <c r="H66" s="22" t="n">
        <f aca="false">D66-F66</f>
        <v>3132499.99999999</v>
      </c>
      <c r="I66" s="22" t="n">
        <f aca="false">I65+E66</f>
        <v>435640.625</v>
      </c>
      <c r="J66" s="22" t="n">
        <f aca="false">J65+F66</f>
        <v>367500</v>
      </c>
    </row>
    <row r="67" customFormat="false" ht="15" hidden="false" customHeight="true" outlineLevel="0" collapsed="false">
      <c r="B67" s="49" t="n">
        <v>64</v>
      </c>
      <c r="C67" s="49" t="n">
        <v>6</v>
      </c>
      <c r="D67" s="24" t="n">
        <f aca="false">H66</f>
        <v>3132499.99999999</v>
      </c>
      <c r="E67" s="24" t="n">
        <f aca="false">D67*Assumptions!D10/12</f>
        <v>6526.04166666665</v>
      </c>
      <c r="F67" s="24" t="n">
        <f aca="false">Assumptions!D6*Assumptions!D12/12</f>
        <v>5833.33333333333</v>
      </c>
      <c r="G67" s="24" t="n">
        <f aca="false">E67+F67</f>
        <v>12359.375</v>
      </c>
      <c r="H67" s="24" t="n">
        <f aca="false">D67-F67</f>
        <v>3126666.66666666</v>
      </c>
      <c r="I67" s="24" t="n">
        <f aca="false">I66+E67</f>
        <v>442166.666666666</v>
      </c>
      <c r="J67" s="24" t="n">
        <f aca="false">J66+F67</f>
        <v>373333.333333333</v>
      </c>
    </row>
    <row r="68" customFormat="false" ht="15" hidden="false" customHeight="true" outlineLevel="0" collapsed="false">
      <c r="B68" s="47" t="n">
        <v>65</v>
      </c>
      <c r="C68" s="47" t="n">
        <v>6</v>
      </c>
      <c r="D68" s="22" t="n">
        <f aca="false">H67</f>
        <v>3126666.66666666</v>
      </c>
      <c r="E68" s="22" t="n">
        <f aca="false">D68*Assumptions!D10/12</f>
        <v>6513.88888888887</v>
      </c>
      <c r="F68" s="22" t="n">
        <f aca="false">Assumptions!D6*Assumptions!D12/12</f>
        <v>5833.33333333333</v>
      </c>
      <c r="G68" s="22" t="n">
        <f aca="false">E68+F68</f>
        <v>12347.2222222222</v>
      </c>
      <c r="H68" s="22" t="n">
        <f aca="false">D68-F68</f>
        <v>3120833.33333332</v>
      </c>
      <c r="I68" s="22" t="n">
        <f aca="false">I67+E68</f>
        <v>448680.555555555</v>
      </c>
      <c r="J68" s="22" t="n">
        <f aca="false">J67+F68</f>
        <v>379166.666666666</v>
      </c>
    </row>
    <row r="69" customFormat="false" ht="15" hidden="false" customHeight="true" outlineLevel="0" collapsed="false">
      <c r="B69" s="49" t="n">
        <v>66</v>
      </c>
      <c r="C69" s="49" t="n">
        <v>6</v>
      </c>
      <c r="D69" s="24" t="n">
        <f aca="false">H68</f>
        <v>3120833.33333332</v>
      </c>
      <c r="E69" s="24" t="n">
        <f aca="false">D69*Assumptions!D10/12</f>
        <v>6501.73611111109</v>
      </c>
      <c r="F69" s="24" t="n">
        <f aca="false">Assumptions!D6*Assumptions!D12/12</f>
        <v>5833.33333333333</v>
      </c>
      <c r="G69" s="24" t="n">
        <f aca="false">E69+F69</f>
        <v>12335.0694444444</v>
      </c>
      <c r="H69" s="24" t="n">
        <f aca="false">D69-F69</f>
        <v>3114999.99999999</v>
      </c>
      <c r="I69" s="24" t="n">
        <f aca="false">I68+E69</f>
        <v>455182.291666666</v>
      </c>
      <c r="J69" s="24" t="n">
        <f aca="false">J68+F69</f>
        <v>385000</v>
      </c>
    </row>
    <row r="70" customFormat="false" ht="15" hidden="false" customHeight="true" outlineLevel="0" collapsed="false">
      <c r="B70" s="47" t="n">
        <v>67</v>
      </c>
      <c r="C70" s="47" t="n">
        <v>6</v>
      </c>
      <c r="D70" s="22" t="n">
        <f aca="false">H69</f>
        <v>3114999.99999999</v>
      </c>
      <c r="E70" s="22" t="n">
        <f aca="false">D70*Assumptions!D10/12</f>
        <v>6489.58333333331</v>
      </c>
      <c r="F70" s="22" t="n">
        <f aca="false">Assumptions!D6*Assumptions!D12/12</f>
        <v>5833.33333333333</v>
      </c>
      <c r="G70" s="22" t="n">
        <f aca="false">E70+F70</f>
        <v>12322.9166666666</v>
      </c>
      <c r="H70" s="22" t="n">
        <f aca="false">D70-F70</f>
        <v>3109166.66666666</v>
      </c>
      <c r="I70" s="22" t="n">
        <f aca="false">I69+E70</f>
        <v>461671.874999999</v>
      </c>
      <c r="J70" s="22" t="n">
        <f aca="false">J69+F70</f>
        <v>390833.333333333</v>
      </c>
    </row>
    <row r="71" customFormat="false" ht="15" hidden="false" customHeight="true" outlineLevel="0" collapsed="false">
      <c r="B71" s="49" t="n">
        <v>68</v>
      </c>
      <c r="C71" s="49" t="n">
        <v>6</v>
      </c>
      <c r="D71" s="24" t="n">
        <f aca="false">H70</f>
        <v>3109166.66666666</v>
      </c>
      <c r="E71" s="24" t="n">
        <f aca="false">D71*Assumptions!D10/12</f>
        <v>6477.43055555553</v>
      </c>
      <c r="F71" s="24" t="n">
        <f aca="false">Assumptions!D6*Assumptions!D12/12</f>
        <v>5833.33333333333</v>
      </c>
      <c r="G71" s="24" t="n">
        <f aca="false">E71+F71</f>
        <v>12310.7638888889</v>
      </c>
      <c r="H71" s="24" t="n">
        <f aca="false">D71-F71</f>
        <v>3103333.33333332</v>
      </c>
      <c r="I71" s="24" t="n">
        <f aca="false">I70+E71</f>
        <v>468149.305555555</v>
      </c>
      <c r="J71" s="24" t="n">
        <f aca="false">J70+F71</f>
        <v>396666.666666666</v>
      </c>
    </row>
    <row r="72" customFormat="false" ht="15" hidden="false" customHeight="true" outlineLevel="0" collapsed="false">
      <c r="B72" s="47" t="n">
        <v>69</v>
      </c>
      <c r="C72" s="47" t="n">
        <v>6</v>
      </c>
      <c r="D72" s="22" t="n">
        <f aca="false">H71</f>
        <v>3103333.33333332</v>
      </c>
      <c r="E72" s="22" t="n">
        <f aca="false">D72*Assumptions!D10/12</f>
        <v>6465.27777777776</v>
      </c>
      <c r="F72" s="22" t="n">
        <f aca="false">Assumptions!D6*Assumptions!D12/12</f>
        <v>5833.33333333333</v>
      </c>
      <c r="G72" s="22" t="n">
        <f aca="false">E72+F72</f>
        <v>12298.6111111111</v>
      </c>
      <c r="H72" s="22" t="n">
        <f aca="false">D72-F72</f>
        <v>3097499.99999999</v>
      </c>
      <c r="I72" s="22" t="n">
        <f aca="false">I71+E72</f>
        <v>474614.583333333</v>
      </c>
      <c r="J72" s="22" t="n">
        <f aca="false">J71+F72</f>
        <v>402500</v>
      </c>
    </row>
    <row r="73" customFormat="false" ht="15" hidden="false" customHeight="true" outlineLevel="0" collapsed="false">
      <c r="B73" s="49" t="n">
        <v>70</v>
      </c>
      <c r="C73" s="49" t="n">
        <v>6</v>
      </c>
      <c r="D73" s="24" t="n">
        <f aca="false">H72</f>
        <v>3097499.99999999</v>
      </c>
      <c r="E73" s="24" t="n">
        <f aca="false">D73*Assumptions!D10/12</f>
        <v>6453.12499999998</v>
      </c>
      <c r="F73" s="24" t="n">
        <f aca="false">Assumptions!D6*Assumptions!D12/12</f>
        <v>5833.33333333333</v>
      </c>
      <c r="G73" s="24" t="n">
        <f aca="false">E73+F73</f>
        <v>12286.4583333333</v>
      </c>
      <c r="H73" s="24" t="n">
        <f aca="false">D73-F73</f>
        <v>3091666.66666666</v>
      </c>
      <c r="I73" s="24" t="n">
        <f aca="false">I72+E73</f>
        <v>481067.708333333</v>
      </c>
      <c r="J73" s="24" t="n">
        <f aca="false">J72+F73</f>
        <v>408333.333333333</v>
      </c>
    </row>
    <row r="74" customFormat="false" ht="15" hidden="false" customHeight="true" outlineLevel="0" collapsed="false">
      <c r="B74" s="47" t="n">
        <v>71</v>
      </c>
      <c r="C74" s="47" t="n">
        <v>6</v>
      </c>
      <c r="D74" s="22" t="n">
        <f aca="false">H73</f>
        <v>3091666.66666666</v>
      </c>
      <c r="E74" s="22" t="n">
        <f aca="false">D74*Assumptions!D10/12</f>
        <v>6440.9722222222</v>
      </c>
      <c r="F74" s="22" t="n">
        <f aca="false">Assumptions!D6*Assumptions!D12/12</f>
        <v>5833.33333333333</v>
      </c>
      <c r="G74" s="22" t="n">
        <f aca="false">E74+F74</f>
        <v>12274.3055555555</v>
      </c>
      <c r="H74" s="22" t="n">
        <f aca="false">D74-F74</f>
        <v>3085833.33333332</v>
      </c>
      <c r="I74" s="22" t="n">
        <f aca="false">I73+E74</f>
        <v>487508.680555555</v>
      </c>
      <c r="J74" s="22" t="n">
        <f aca="false">J73+F74</f>
        <v>414166.666666666</v>
      </c>
    </row>
    <row r="75" customFormat="false" ht="15" hidden="false" customHeight="true" outlineLevel="0" collapsed="false">
      <c r="B75" s="49" t="n">
        <v>72</v>
      </c>
      <c r="C75" s="49" t="n">
        <v>6</v>
      </c>
      <c r="D75" s="24" t="n">
        <f aca="false">H74</f>
        <v>3085833.33333332</v>
      </c>
      <c r="E75" s="24" t="n">
        <f aca="false">D75*Assumptions!D10/12</f>
        <v>6428.81944444442</v>
      </c>
      <c r="F75" s="24" t="n">
        <f aca="false">Assumptions!D6*Assumptions!D12/12</f>
        <v>5833.33333333333</v>
      </c>
      <c r="G75" s="24" t="n">
        <f aca="false">E75+F75</f>
        <v>12262.1527777778</v>
      </c>
      <c r="H75" s="24" t="n">
        <f aca="false">D75-F75</f>
        <v>3079999.99999999</v>
      </c>
      <c r="I75" s="24" t="n">
        <f aca="false">I74+E75</f>
        <v>493937.499999999</v>
      </c>
      <c r="J75" s="24" t="n">
        <f aca="false">J74+F75</f>
        <v>420000</v>
      </c>
    </row>
    <row r="76" customFormat="false" ht="15" hidden="false" customHeight="true" outlineLevel="0" collapsed="false">
      <c r="B76" s="47" t="n">
        <v>73</v>
      </c>
      <c r="C76" s="47" t="n">
        <v>7</v>
      </c>
      <c r="D76" s="22" t="n">
        <f aca="false">H75</f>
        <v>3079999.99999999</v>
      </c>
      <c r="E76" s="22" t="n">
        <f aca="false">D76*Assumptions!D10/12</f>
        <v>6416.66666666664</v>
      </c>
      <c r="F76" s="22" t="n">
        <f aca="false">Assumptions!D6*Assumptions!D12/12</f>
        <v>5833.33333333333</v>
      </c>
      <c r="G76" s="22" t="n">
        <f aca="false">E76+F76</f>
        <v>12250</v>
      </c>
      <c r="H76" s="22" t="n">
        <f aca="false">D76-F76</f>
        <v>3074166.66666666</v>
      </c>
      <c r="I76" s="22" t="n">
        <f aca="false">I75+E76</f>
        <v>500354.166666666</v>
      </c>
      <c r="J76" s="22" t="n">
        <f aca="false">J75+F76</f>
        <v>425833.333333333</v>
      </c>
    </row>
    <row r="77" customFormat="false" ht="15" hidden="false" customHeight="true" outlineLevel="0" collapsed="false">
      <c r="B77" s="49" t="n">
        <v>74</v>
      </c>
      <c r="C77" s="49" t="n">
        <v>7</v>
      </c>
      <c r="D77" s="24" t="n">
        <f aca="false">H76</f>
        <v>3074166.66666666</v>
      </c>
      <c r="E77" s="24" t="n">
        <f aca="false">D77*Assumptions!D10/12</f>
        <v>6404.51388888887</v>
      </c>
      <c r="F77" s="24" t="n">
        <f aca="false">Assumptions!D6*Assumptions!D12/12</f>
        <v>5833.33333333333</v>
      </c>
      <c r="G77" s="24" t="n">
        <f aca="false">E77+F77</f>
        <v>12237.8472222222</v>
      </c>
      <c r="H77" s="24" t="n">
        <f aca="false">D77-F77</f>
        <v>3068333.33333332</v>
      </c>
      <c r="I77" s="24" t="n">
        <f aca="false">I76+E77</f>
        <v>506758.680555555</v>
      </c>
      <c r="J77" s="24" t="n">
        <f aca="false">J76+F77</f>
        <v>431666.666666666</v>
      </c>
    </row>
    <row r="78" customFormat="false" ht="15" hidden="false" customHeight="true" outlineLevel="0" collapsed="false">
      <c r="B78" s="47" t="n">
        <v>75</v>
      </c>
      <c r="C78" s="47" t="n">
        <v>7</v>
      </c>
      <c r="D78" s="22" t="n">
        <f aca="false">H77</f>
        <v>3068333.33333332</v>
      </c>
      <c r="E78" s="22" t="n">
        <f aca="false">D78*Assumptions!D10/12</f>
        <v>6392.36111111109</v>
      </c>
      <c r="F78" s="22" t="n">
        <f aca="false">Assumptions!D6*Assumptions!D12/12</f>
        <v>5833.33333333333</v>
      </c>
      <c r="G78" s="22" t="n">
        <f aca="false">E78+F78</f>
        <v>12225.6944444444</v>
      </c>
      <c r="H78" s="22" t="n">
        <f aca="false">D78-F78</f>
        <v>3062499.99999999</v>
      </c>
      <c r="I78" s="22" t="n">
        <f aca="false">I77+E78</f>
        <v>513151.041666666</v>
      </c>
      <c r="J78" s="22" t="n">
        <f aca="false">J77+F78</f>
        <v>437500</v>
      </c>
    </row>
    <row r="79" customFormat="false" ht="15" hidden="false" customHeight="true" outlineLevel="0" collapsed="false">
      <c r="B79" s="49" t="n">
        <v>76</v>
      </c>
      <c r="C79" s="49" t="n">
        <v>7</v>
      </c>
      <c r="D79" s="24" t="n">
        <f aca="false">H78</f>
        <v>3062499.99999999</v>
      </c>
      <c r="E79" s="24" t="n">
        <f aca="false">D79*Assumptions!D10/12</f>
        <v>6380.20833333331</v>
      </c>
      <c r="F79" s="24" t="n">
        <f aca="false">Assumptions!D6*Assumptions!D12/12</f>
        <v>5833.33333333333</v>
      </c>
      <c r="G79" s="24" t="n">
        <f aca="false">E79+F79</f>
        <v>12213.5416666666</v>
      </c>
      <c r="H79" s="24" t="n">
        <f aca="false">D79-F79</f>
        <v>3056666.66666666</v>
      </c>
      <c r="I79" s="24" t="n">
        <f aca="false">I78+E79</f>
        <v>519531.249999999</v>
      </c>
      <c r="J79" s="24" t="n">
        <f aca="false">J78+F79</f>
        <v>443333.333333333</v>
      </c>
    </row>
    <row r="80" customFormat="false" ht="15" hidden="false" customHeight="true" outlineLevel="0" collapsed="false">
      <c r="B80" s="47" t="n">
        <v>77</v>
      </c>
      <c r="C80" s="47" t="n">
        <v>7</v>
      </c>
      <c r="D80" s="22" t="n">
        <f aca="false">H79</f>
        <v>3056666.66666666</v>
      </c>
      <c r="E80" s="22" t="n">
        <f aca="false">D80*Assumptions!D10/12</f>
        <v>6368.05555555553</v>
      </c>
      <c r="F80" s="22" t="n">
        <f aca="false">Assumptions!D6*Assumptions!D12/12</f>
        <v>5833.33333333333</v>
      </c>
      <c r="G80" s="22" t="n">
        <f aca="false">E80+F80</f>
        <v>12201.3888888889</v>
      </c>
      <c r="H80" s="22" t="n">
        <f aca="false">D80-F80</f>
        <v>3050833.33333332</v>
      </c>
      <c r="I80" s="22" t="n">
        <f aca="false">I79+E80</f>
        <v>525899.305555555</v>
      </c>
      <c r="J80" s="22" t="n">
        <f aca="false">J79+F80</f>
        <v>449166.666666666</v>
      </c>
    </row>
    <row r="81" customFormat="false" ht="15" hidden="false" customHeight="true" outlineLevel="0" collapsed="false">
      <c r="B81" s="49" t="n">
        <v>78</v>
      </c>
      <c r="C81" s="49" t="n">
        <v>7</v>
      </c>
      <c r="D81" s="24" t="n">
        <f aca="false">H80</f>
        <v>3050833.33333332</v>
      </c>
      <c r="E81" s="24" t="n">
        <f aca="false">D81*Assumptions!D10/12</f>
        <v>6355.90277777775</v>
      </c>
      <c r="F81" s="24" t="n">
        <f aca="false">Assumptions!D6*Assumptions!D12/12</f>
        <v>5833.33333333333</v>
      </c>
      <c r="G81" s="24" t="n">
        <f aca="false">E81+F81</f>
        <v>12189.2361111111</v>
      </c>
      <c r="H81" s="24" t="n">
        <f aca="false">D81-F81</f>
        <v>3044999.99999999</v>
      </c>
      <c r="I81" s="24" t="n">
        <f aca="false">I80+E81</f>
        <v>532255.208333332</v>
      </c>
      <c r="J81" s="24" t="n">
        <f aca="false">J80+F81</f>
        <v>455000</v>
      </c>
    </row>
    <row r="82" customFormat="false" ht="15" hidden="false" customHeight="true" outlineLevel="0" collapsed="false">
      <c r="B82" s="47" t="n">
        <v>79</v>
      </c>
      <c r="C82" s="47" t="n">
        <v>7</v>
      </c>
      <c r="D82" s="22" t="n">
        <f aca="false">H81</f>
        <v>3044999.99999999</v>
      </c>
      <c r="E82" s="22" t="n">
        <f aca="false">D82*Assumptions!D10/12</f>
        <v>6343.74999999997</v>
      </c>
      <c r="F82" s="22" t="n">
        <f aca="false">Assumptions!D6*Assumptions!D12/12</f>
        <v>5833.33333333333</v>
      </c>
      <c r="G82" s="22" t="n">
        <f aca="false">E82+F82</f>
        <v>12177.0833333333</v>
      </c>
      <c r="H82" s="22" t="n">
        <f aca="false">D82-F82</f>
        <v>3039166.66666665</v>
      </c>
      <c r="I82" s="22" t="n">
        <f aca="false">I81+E82</f>
        <v>538598.958333332</v>
      </c>
      <c r="J82" s="22" t="n">
        <f aca="false">J81+F82</f>
        <v>460833.333333333</v>
      </c>
    </row>
    <row r="83" customFormat="false" ht="15" hidden="false" customHeight="true" outlineLevel="0" collapsed="false">
      <c r="B83" s="49" t="n">
        <v>80</v>
      </c>
      <c r="C83" s="49" t="n">
        <v>7</v>
      </c>
      <c r="D83" s="24" t="n">
        <f aca="false">H82</f>
        <v>3039166.66666665</v>
      </c>
      <c r="E83" s="24" t="n">
        <f aca="false">D83*Assumptions!D10/12</f>
        <v>6331.5972222222</v>
      </c>
      <c r="F83" s="24" t="n">
        <f aca="false">Assumptions!D6*Assumptions!D12/12</f>
        <v>5833.33333333333</v>
      </c>
      <c r="G83" s="24" t="n">
        <f aca="false">E83+F83</f>
        <v>12164.9305555555</v>
      </c>
      <c r="H83" s="24" t="n">
        <f aca="false">D83-F83</f>
        <v>3033333.33333332</v>
      </c>
      <c r="I83" s="24" t="n">
        <f aca="false">I82+E83</f>
        <v>544930.555555555</v>
      </c>
      <c r="J83" s="24" t="n">
        <f aca="false">J82+F83</f>
        <v>466666.666666666</v>
      </c>
    </row>
    <row r="84" customFormat="false" ht="15" hidden="false" customHeight="true" outlineLevel="0" collapsed="false">
      <c r="B84" s="47" t="n">
        <v>81</v>
      </c>
      <c r="C84" s="47" t="n">
        <v>7</v>
      </c>
      <c r="D84" s="22" t="n">
        <f aca="false">H83</f>
        <v>3033333.33333332</v>
      </c>
      <c r="E84" s="22" t="n">
        <f aca="false">D84*Assumptions!D10/12</f>
        <v>6319.44444444442</v>
      </c>
      <c r="F84" s="22" t="n">
        <f aca="false">Assumptions!D6*Assumptions!D12/12</f>
        <v>5833.33333333333</v>
      </c>
      <c r="G84" s="22" t="n">
        <f aca="false">E84+F84</f>
        <v>12152.7777777778</v>
      </c>
      <c r="H84" s="22" t="n">
        <f aca="false">D84-F84</f>
        <v>3027499.99999999</v>
      </c>
      <c r="I84" s="22" t="n">
        <f aca="false">I83+E84</f>
        <v>551249.999999999</v>
      </c>
      <c r="J84" s="22" t="n">
        <f aca="false">J83+F84</f>
        <v>472500</v>
      </c>
    </row>
    <row r="85" customFormat="false" ht="15" hidden="false" customHeight="true" outlineLevel="0" collapsed="false">
      <c r="B85" s="49" t="n">
        <v>82</v>
      </c>
      <c r="C85" s="49" t="n">
        <v>7</v>
      </c>
      <c r="D85" s="24" t="n">
        <f aca="false">H84</f>
        <v>3027499.99999999</v>
      </c>
      <c r="E85" s="24" t="n">
        <f aca="false">D85*Assumptions!D10/12</f>
        <v>6307.29166666664</v>
      </c>
      <c r="F85" s="24" t="n">
        <f aca="false">Assumptions!D6*Assumptions!D12/12</f>
        <v>5833.33333333333</v>
      </c>
      <c r="G85" s="24" t="n">
        <f aca="false">E85+F85</f>
        <v>12140.625</v>
      </c>
      <c r="H85" s="24" t="n">
        <f aca="false">D85-F85</f>
        <v>3021666.66666665</v>
      </c>
      <c r="I85" s="24" t="n">
        <f aca="false">I84+E85</f>
        <v>557557.291666666</v>
      </c>
      <c r="J85" s="24" t="n">
        <f aca="false">J84+F85</f>
        <v>478333.333333333</v>
      </c>
    </row>
    <row r="86" customFormat="false" ht="15" hidden="false" customHeight="true" outlineLevel="0" collapsed="false">
      <c r="B86" s="47" t="n">
        <v>83</v>
      </c>
      <c r="C86" s="47" t="n">
        <v>7</v>
      </c>
      <c r="D86" s="22" t="n">
        <f aca="false">H85</f>
        <v>3021666.66666665</v>
      </c>
      <c r="E86" s="22" t="n">
        <f aca="false">D86*Assumptions!D10/12</f>
        <v>6295.13888888886</v>
      </c>
      <c r="F86" s="22" t="n">
        <f aca="false">Assumptions!D6*Assumptions!D12/12</f>
        <v>5833.33333333333</v>
      </c>
      <c r="G86" s="22" t="n">
        <f aca="false">E86+F86</f>
        <v>12128.4722222222</v>
      </c>
      <c r="H86" s="22" t="n">
        <f aca="false">D86-F86</f>
        <v>3015833.33333332</v>
      </c>
      <c r="I86" s="22" t="n">
        <f aca="false">I85+E86</f>
        <v>563852.430555555</v>
      </c>
      <c r="J86" s="22" t="n">
        <f aca="false">J85+F86</f>
        <v>484166.666666666</v>
      </c>
    </row>
    <row r="87" customFormat="false" ht="15" hidden="false" customHeight="true" outlineLevel="0" collapsed="false">
      <c r="B87" s="49" t="n">
        <v>84</v>
      </c>
      <c r="C87" s="49" t="n">
        <v>7</v>
      </c>
      <c r="D87" s="24" t="n">
        <f aca="false">H86</f>
        <v>3015833.33333332</v>
      </c>
      <c r="E87" s="24" t="n">
        <f aca="false">D87*Assumptions!D10/12</f>
        <v>6282.98611111108</v>
      </c>
      <c r="F87" s="24" t="n">
        <f aca="false">Assumptions!D6*Assumptions!D12/12</f>
        <v>5833.33333333333</v>
      </c>
      <c r="G87" s="24" t="n">
        <f aca="false">E87+F87</f>
        <v>12116.3194444444</v>
      </c>
      <c r="H87" s="24" t="n">
        <f aca="false">D87-F87</f>
        <v>3009999.99999999</v>
      </c>
      <c r="I87" s="24" t="n">
        <f aca="false">I86+E87</f>
        <v>570135.416666666</v>
      </c>
      <c r="J87" s="24" t="n">
        <f aca="false">J86+F87</f>
        <v>489999.999999999</v>
      </c>
    </row>
    <row r="88" customFormat="false" ht="15" hidden="false" customHeight="true" outlineLevel="0" collapsed="false">
      <c r="B88" s="47" t="n">
        <v>85</v>
      </c>
      <c r="C88" s="47" t="n">
        <v>8</v>
      </c>
      <c r="D88" s="22" t="n">
        <f aca="false">H87</f>
        <v>3009999.99999999</v>
      </c>
      <c r="E88" s="22" t="n">
        <f aca="false">D88*Assumptions!D10/12</f>
        <v>6270.83333333331</v>
      </c>
      <c r="F88" s="22" t="n">
        <f aca="false">Assumptions!D6*Assumptions!D12/12</f>
        <v>5833.33333333333</v>
      </c>
      <c r="G88" s="22" t="n">
        <f aca="false">E88+F88</f>
        <v>12104.1666666666</v>
      </c>
      <c r="H88" s="22" t="n">
        <f aca="false">D88-F88</f>
        <v>3004166.66666665</v>
      </c>
      <c r="I88" s="22" t="n">
        <f aca="false">I87+E88</f>
        <v>576406.249999999</v>
      </c>
      <c r="J88" s="22" t="n">
        <f aca="false">J87+F88</f>
        <v>495833.333333333</v>
      </c>
    </row>
    <row r="89" customFormat="false" ht="15" hidden="false" customHeight="true" outlineLevel="0" collapsed="false">
      <c r="B89" s="49" t="n">
        <v>86</v>
      </c>
      <c r="C89" s="49" t="n">
        <v>8</v>
      </c>
      <c r="D89" s="24" t="n">
        <f aca="false">H88</f>
        <v>3004166.66666665</v>
      </c>
      <c r="E89" s="24" t="n">
        <f aca="false">D89*Assumptions!D10/12</f>
        <v>6258.68055555553</v>
      </c>
      <c r="F89" s="24" t="n">
        <f aca="false">Assumptions!D6*Assumptions!D12/12</f>
        <v>5833.33333333333</v>
      </c>
      <c r="G89" s="24" t="n">
        <f aca="false">E89+F89</f>
        <v>12092.0138888889</v>
      </c>
      <c r="H89" s="24" t="n">
        <f aca="false">D89-F89</f>
        <v>2998333.33333332</v>
      </c>
      <c r="I89" s="24" t="n">
        <f aca="false">I88+E89</f>
        <v>582664.930555555</v>
      </c>
      <c r="J89" s="24" t="n">
        <f aca="false">J88+F89</f>
        <v>501666.666666666</v>
      </c>
    </row>
    <row r="90" customFormat="false" ht="15" hidden="false" customHeight="true" outlineLevel="0" collapsed="false">
      <c r="B90" s="47" t="n">
        <v>87</v>
      </c>
      <c r="C90" s="47" t="n">
        <v>8</v>
      </c>
      <c r="D90" s="22" t="n">
        <f aca="false">H89</f>
        <v>2998333.33333332</v>
      </c>
      <c r="E90" s="22" t="n">
        <f aca="false">D90*Assumptions!D10/12</f>
        <v>6246.52777777775</v>
      </c>
      <c r="F90" s="22" t="n">
        <f aca="false">Assumptions!D6*Assumptions!D12/12</f>
        <v>5833.33333333333</v>
      </c>
      <c r="G90" s="22" t="n">
        <f aca="false">E90+F90</f>
        <v>12079.8611111111</v>
      </c>
      <c r="H90" s="22" t="n">
        <f aca="false">D90-F90</f>
        <v>2992499.99999999</v>
      </c>
      <c r="I90" s="22" t="n">
        <f aca="false">I89+E90</f>
        <v>588911.458333332</v>
      </c>
      <c r="J90" s="22" t="n">
        <f aca="false">J89+F90</f>
        <v>507499.999999999</v>
      </c>
    </row>
    <row r="91" customFormat="false" ht="15" hidden="false" customHeight="true" outlineLevel="0" collapsed="false">
      <c r="B91" s="49" t="n">
        <v>88</v>
      </c>
      <c r="C91" s="49" t="n">
        <v>8</v>
      </c>
      <c r="D91" s="24" t="n">
        <f aca="false">H90</f>
        <v>2992499.99999999</v>
      </c>
      <c r="E91" s="24" t="n">
        <f aca="false">D91*Assumptions!D10/12</f>
        <v>6234.37499999997</v>
      </c>
      <c r="F91" s="24" t="n">
        <f aca="false">Assumptions!D6*Assumptions!D12/12</f>
        <v>5833.33333333333</v>
      </c>
      <c r="G91" s="24" t="n">
        <f aca="false">E91+F91</f>
        <v>12067.7083333333</v>
      </c>
      <c r="H91" s="24" t="n">
        <f aca="false">D91-F91</f>
        <v>2986666.66666665</v>
      </c>
      <c r="I91" s="24" t="n">
        <f aca="false">I90+E91</f>
        <v>595145.833333332</v>
      </c>
      <c r="J91" s="24" t="n">
        <f aca="false">J90+F91</f>
        <v>513333.333333333</v>
      </c>
    </row>
    <row r="92" customFormat="false" ht="15" hidden="false" customHeight="true" outlineLevel="0" collapsed="false">
      <c r="B92" s="47" t="n">
        <v>89</v>
      </c>
      <c r="C92" s="47" t="n">
        <v>8</v>
      </c>
      <c r="D92" s="22" t="n">
        <f aca="false">H91</f>
        <v>2986666.66666665</v>
      </c>
      <c r="E92" s="22" t="n">
        <f aca="false">D92*Assumptions!D10/12</f>
        <v>6222.22222222219</v>
      </c>
      <c r="F92" s="22" t="n">
        <f aca="false">Assumptions!D6*Assumptions!D12/12</f>
        <v>5833.33333333333</v>
      </c>
      <c r="G92" s="22" t="n">
        <f aca="false">E92+F92</f>
        <v>12055.5555555555</v>
      </c>
      <c r="H92" s="22" t="n">
        <f aca="false">D92-F92</f>
        <v>2980833.33333332</v>
      </c>
      <c r="I92" s="22" t="n">
        <f aca="false">I91+E92</f>
        <v>601368.055555555</v>
      </c>
      <c r="J92" s="22" t="n">
        <f aca="false">J91+F92</f>
        <v>519166.666666666</v>
      </c>
    </row>
    <row r="93" customFormat="false" ht="15" hidden="false" customHeight="true" outlineLevel="0" collapsed="false">
      <c r="B93" s="49" t="n">
        <v>90</v>
      </c>
      <c r="C93" s="49" t="n">
        <v>8</v>
      </c>
      <c r="D93" s="24" t="n">
        <f aca="false">H92</f>
        <v>2980833.33333332</v>
      </c>
      <c r="E93" s="24" t="n">
        <f aca="false">D93*Assumptions!D10/12</f>
        <v>6210.06944444442</v>
      </c>
      <c r="F93" s="24" t="n">
        <f aca="false">Assumptions!D6*Assumptions!D12/12</f>
        <v>5833.33333333333</v>
      </c>
      <c r="G93" s="24" t="n">
        <f aca="false">E93+F93</f>
        <v>12043.4027777777</v>
      </c>
      <c r="H93" s="24" t="n">
        <f aca="false">D93-F93</f>
        <v>2974999.99999999</v>
      </c>
      <c r="I93" s="24" t="n">
        <f aca="false">I92+E93</f>
        <v>607578.124999999</v>
      </c>
      <c r="J93" s="24" t="n">
        <f aca="false">J92+F93</f>
        <v>524999.999999999</v>
      </c>
    </row>
    <row r="94" customFormat="false" ht="15" hidden="false" customHeight="true" outlineLevel="0" collapsed="false">
      <c r="B94" s="47" t="n">
        <v>91</v>
      </c>
      <c r="C94" s="47" t="n">
        <v>8</v>
      </c>
      <c r="D94" s="22" t="n">
        <f aca="false">H93</f>
        <v>2974999.99999999</v>
      </c>
      <c r="E94" s="22" t="n">
        <f aca="false">D94*Assumptions!D10/12</f>
        <v>6197.91666666664</v>
      </c>
      <c r="F94" s="22" t="n">
        <f aca="false">Assumptions!D6*Assumptions!D12/12</f>
        <v>5833.33333333333</v>
      </c>
      <c r="G94" s="22" t="n">
        <f aca="false">E94+F94</f>
        <v>12031.25</v>
      </c>
      <c r="H94" s="22" t="n">
        <f aca="false">D94-F94</f>
        <v>2969166.66666665</v>
      </c>
      <c r="I94" s="22" t="n">
        <f aca="false">I93+E94</f>
        <v>613776.041666666</v>
      </c>
      <c r="J94" s="22" t="n">
        <f aca="false">J93+F94</f>
        <v>530833.333333333</v>
      </c>
    </row>
    <row r="95" customFormat="false" ht="15" hidden="false" customHeight="true" outlineLevel="0" collapsed="false">
      <c r="B95" s="49" t="n">
        <v>92</v>
      </c>
      <c r="C95" s="49" t="n">
        <v>8</v>
      </c>
      <c r="D95" s="24" t="n">
        <f aca="false">H94</f>
        <v>2969166.66666665</v>
      </c>
      <c r="E95" s="24" t="n">
        <f aca="false">D95*Assumptions!D10/12</f>
        <v>6185.76388888886</v>
      </c>
      <c r="F95" s="24" t="n">
        <f aca="false">Assumptions!D6*Assumptions!D12/12</f>
        <v>5833.33333333333</v>
      </c>
      <c r="G95" s="24" t="n">
        <f aca="false">E95+F95</f>
        <v>12019.0972222222</v>
      </c>
      <c r="H95" s="24" t="n">
        <f aca="false">D95-F95</f>
        <v>2963333.33333332</v>
      </c>
      <c r="I95" s="24" t="n">
        <f aca="false">I94+E95</f>
        <v>619961.805555554</v>
      </c>
      <c r="J95" s="24" t="n">
        <f aca="false">J94+F95</f>
        <v>536666.666666666</v>
      </c>
    </row>
    <row r="96" customFormat="false" ht="15" hidden="false" customHeight="true" outlineLevel="0" collapsed="false">
      <c r="B96" s="47" t="n">
        <v>93</v>
      </c>
      <c r="C96" s="47" t="n">
        <v>8</v>
      </c>
      <c r="D96" s="22" t="n">
        <f aca="false">H95</f>
        <v>2963333.33333332</v>
      </c>
      <c r="E96" s="22" t="n">
        <f aca="false">D96*Assumptions!D10/12</f>
        <v>6173.61111111108</v>
      </c>
      <c r="F96" s="22" t="n">
        <f aca="false">Assumptions!D6*Assumptions!D12/12</f>
        <v>5833.33333333333</v>
      </c>
      <c r="G96" s="22" t="n">
        <f aca="false">E96+F96</f>
        <v>12006.9444444444</v>
      </c>
      <c r="H96" s="22" t="n">
        <f aca="false">D96-F96</f>
        <v>2957499.99999999</v>
      </c>
      <c r="I96" s="22" t="n">
        <f aca="false">I95+E96</f>
        <v>626135.416666666</v>
      </c>
      <c r="J96" s="22" t="n">
        <f aca="false">J95+F96</f>
        <v>542499.999999999</v>
      </c>
    </row>
    <row r="97" customFormat="false" ht="15" hidden="false" customHeight="true" outlineLevel="0" collapsed="false">
      <c r="B97" s="49" t="n">
        <v>94</v>
      </c>
      <c r="C97" s="49" t="n">
        <v>8</v>
      </c>
      <c r="D97" s="24" t="n">
        <f aca="false">H96</f>
        <v>2957499.99999999</v>
      </c>
      <c r="E97" s="24" t="n">
        <f aca="false">D97*Assumptions!D10/12</f>
        <v>6161.4583333333</v>
      </c>
      <c r="F97" s="24" t="n">
        <f aca="false">Assumptions!D6*Assumptions!D12/12</f>
        <v>5833.33333333333</v>
      </c>
      <c r="G97" s="24" t="n">
        <f aca="false">E97+F97</f>
        <v>11994.7916666666</v>
      </c>
      <c r="H97" s="24" t="n">
        <f aca="false">D97-F97</f>
        <v>2951666.66666665</v>
      </c>
      <c r="I97" s="24" t="n">
        <f aca="false">I96+E97</f>
        <v>632296.874999999</v>
      </c>
      <c r="J97" s="24" t="n">
        <f aca="false">J96+F97</f>
        <v>548333.333333333</v>
      </c>
    </row>
    <row r="98" customFormat="false" ht="15" hidden="false" customHeight="true" outlineLevel="0" collapsed="false">
      <c r="B98" s="47" t="n">
        <v>95</v>
      </c>
      <c r="C98" s="47" t="n">
        <v>8</v>
      </c>
      <c r="D98" s="22" t="n">
        <f aca="false">H97</f>
        <v>2951666.66666665</v>
      </c>
      <c r="E98" s="22" t="n">
        <f aca="false">D98*Assumptions!D10/12</f>
        <v>6149.30555555553</v>
      </c>
      <c r="F98" s="22" t="n">
        <f aca="false">Assumptions!D6*Assumptions!D12/12</f>
        <v>5833.33333333333</v>
      </c>
      <c r="G98" s="22" t="n">
        <f aca="false">E98+F98</f>
        <v>11982.6388888889</v>
      </c>
      <c r="H98" s="22" t="n">
        <f aca="false">D98-F98</f>
        <v>2945833.33333332</v>
      </c>
      <c r="I98" s="22" t="n">
        <f aca="false">I97+E98</f>
        <v>638446.180555554</v>
      </c>
      <c r="J98" s="22" t="n">
        <f aca="false">J97+F98</f>
        <v>554166.666666666</v>
      </c>
    </row>
    <row r="99" customFormat="false" ht="15" hidden="false" customHeight="true" outlineLevel="0" collapsed="false">
      <c r="B99" s="49" t="n">
        <v>96</v>
      </c>
      <c r="C99" s="49" t="n">
        <v>8</v>
      </c>
      <c r="D99" s="24" t="n">
        <f aca="false">H98</f>
        <v>2945833.33333332</v>
      </c>
      <c r="E99" s="24" t="n">
        <f aca="false">D99*Assumptions!D10/12</f>
        <v>6137.15277777775</v>
      </c>
      <c r="F99" s="24" t="n">
        <f aca="false">Assumptions!D6*Assumptions!D12/12</f>
        <v>5833.33333333333</v>
      </c>
      <c r="G99" s="24" t="n">
        <f aca="false">E99+F99</f>
        <v>11970.4861111111</v>
      </c>
      <c r="H99" s="24" t="n">
        <f aca="false">D99-F99</f>
        <v>2939999.99999999</v>
      </c>
      <c r="I99" s="24" t="n">
        <f aca="false">I98+E99</f>
        <v>644583.333333332</v>
      </c>
      <c r="J99" s="24" t="n">
        <f aca="false">J98+F99</f>
        <v>560000</v>
      </c>
    </row>
    <row r="100" customFormat="false" ht="15" hidden="false" customHeight="true" outlineLevel="0" collapsed="false">
      <c r="B100" s="47" t="n">
        <v>97</v>
      </c>
      <c r="C100" s="47" t="n">
        <v>9</v>
      </c>
      <c r="D100" s="22" t="n">
        <f aca="false">H99</f>
        <v>2939999.99999999</v>
      </c>
      <c r="E100" s="22" t="n">
        <f aca="false">D100*Assumptions!D10/12</f>
        <v>6124.99999999997</v>
      </c>
      <c r="F100" s="22" t="n">
        <f aca="false">Assumptions!D6*Assumptions!D12/12</f>
        <v>5833.33333333333</v>
      </c>
      <c r="G100" s="22" t="n">
        <f aca="false">E100+F100</f>
        <v>11958.3333333333</v>
      </c>
      <c r="H100" s="22" t="n">
        <f aca="false">D100-F100</f>
        <v>2934166.66666665</v>
      </c>
      <c r="I100" s="22" t="n">
        <f aca="false">I99+E100</f>
        <v>650708.333333332</v>
      </c>
      <c r="J100" s="22" t="n">
        <f aca="false">J99+F100</f>
        <v>565833.333333333</v>
      </c>
    </row>
    <row r="101" customFormat="false" ht="15" hidden="false" customHeight="true" outlineLevel="0" collapsed="false">
      <c r="B101" s="49" t="n">
        <v>98</v>
      </c>
      <c r="C101" s="49" t="n">
        <v>9</v>
      </c>
      <c r="D101" s="24" t="n">
        <f aca="false">H100</f>
        <v>2934166.66666665</v>
      </c>
      <c r="E101" s="24" t="n">
        <f aca="false">D101*Assumptions!D10/12</f>
        <v>6112.84722222219</v>
      </c>
      <c r="F101" s="24" t="n">
        <f aca="false">Assumptions!D6*Assumptions!D12/12</f>
        <v>5833.33333333333</v>
      </c>
      <c r="G101" s="24" t="n">
        <f aca="false">E101+F101</f>
        <v>11946.1805555555</v>
      </c>
      <c r="H101" s="24" t="n">
        <f aca="false">D101-F101</f>
        <v>2928333.33333332</v>
      </c>
      <c r="I101" s="24" t="n">
        <f aca="false">I100+E101</f>
        <v>656821.180555554</v>
      </c>
      <c r="J101" s="24" t="n">
        <f aca="false">J100+F101</f>
        <v>571666.666666666</v>
      </c>
    </row>
    <row r="102" customFormat="false" ht="15" hidden="false" customHeight="true" outlineLevel="0" collapsed="false">
      <c r="B102" s="47" t="n">
        <v>99</v>
      </c>
      <c r="C102" s="47" t="n">
        <v>9</v>
      </c>
      <c r="D102" s="22" t="n">
        <f aca="false">H101</f>
        <v>2928333.33333332</v>
      </c>
      <c r="E102" s="22" t="n">
        <f aca="false">D102*Assumptions!D10/12</f>
        <v>6100.69444444441</v>
      </c>
      <c r="F102" s="22" t="n">
        <f aca="false">Assumptions!D6*Assumptions!D12/12</f>
        <v>5833.33333333333</v>
      </c>
      <c r="G102" s="22" t="n">
        <f aca="false">E102+F102</f>
        <v>11934.0277777777</v>
      </c>
      <c r="H102" s="22" t="n">
        <f aca="false">D102-F102</f>
        <v>2922499.99999998</v>
      </c>
      <c r="I102" s="22" t="n">
        <f aca="false">I101+E102</f>
        <v>662921.874999999</v>
      </c>
      <c r="J102" s="22" t="n">
        <f aca="false">J101+F102</f>
        <v>577500</v>
      </c>
    </row>
    <row r="103" customFormat="false" ht="15" hidden="false" customHeight="true" outlineLevel="0" collapsed="false">
      <c r="B103" s="49" t="n">
        <v>100</v>
      </c>
      <c r="C103" s="49" t="n">
        <v>9</v>
      </c>
      <c r="D103" s="24" t="n">
        <f aca="false">H102</f>
        <v>2922499.99999998</v>
      </c>
      <c r="E103" s="24" t="n">
        <f aca="false">D103*Assumptions!D10/12</f>
        <v>6088.54166666664</v>
      </c>
      <c r="F103" s="24" t="n">
        <f aca="false">Assumptions!D6*Assumptions!D12/12</f>
        <v>5833.33333333333</v>
      </c>
      <c r="G103" s="24" t="n">
        <f aca="false">E103+F103</f>
        <v>11921.875</v>
      </c>
      <c r="H103" s="24" t="n">
        <f aca="false">D103-F103</f>
        <v>2916666.66666665</v>
      </c>
      <c r="I103" s="24" t="n">
        <f aca="false">I102+E103</f>
        <v>669010.416666665</v>
      </c>
      <c r="J103" s="24" t="n">
        <f aca="false">J102+F103</f>
        <v>583333.333333333</v>
      </c>
    </row>
    <row r="104" customFormat="false" ht="15" hidden="false" customHeight="true" outlineLevel="0" collapsed="false">
      <c r="B104" s="47" t="n">
        <v>101</v>
      </c>
      <c r="C104" s="47" t="n">
        <v>9</v>
      </c>
      <c r="D104" s="22" t="n">
        <f aca="false">H103</f>
        <v>2916666.66666665</v>
      </c>
      <c r="E104" s="22" t="n">
        <f aca="false">D104*Assumptions!D10/12</f>
        <v>6076.38888888886</v>
      </c>
      <c r="F104" s="22" t="n">
        <f aca="false">Assumptions!D6*Assumptions!D12/12</f>
        <v>5833.33333333333</v>
      </c>
      <c r="G104" s="22" t="n">
        <f aca="false">E104+F104</f>
        <v>11909.7222222222</v>
      </c>
      <c r="H104" s="22" t="n">
        <f aca="false">D104-F104</f>
        <v>2910833.33333332</v>
      </c>
      <c r="I104" s="22" t="n">
        <f aca="false">I103+E104</f>
        <v>675086.805555554</v>
      </c>
      <c r="J104" s="22" t="n">
        <f aca="false">J103+F104</f>
        <v>589166.666666666</v>
      </c>
    </row>
    <row r="105" customFormat="false" ht="15" hidden="false" customHeight="true" outlineLevel="0" collapsed="false">
      <c r="B105" s="49" t="n">
        <v>102</v>
      </c>
      <c r="C105" s="49" t="n">
        <v>9</v>
      </c>
      <c r="D105" s="24" t="n">
        <f aca="false">H104</f>
        <v>2910833.33333332</v>
      </c>
      <c r="E105" s="24" t="n">
        <f aca="false">D105*Assumptions!D10/12</f>
        <v>6064.23611111108</v>
      </c>
      <c r="F105" s="24" t="n">
        <f aca="false">Assumptions!D6*Assumptions!D12/12</f>
        <v>5833.33333333333</v>
      </c>
      <c r="G105" s="24" t="n">
        <f aca="false">E105+F105</f>
        <v>11897.5694444444</v>
      </c>
      <c r="H105" s="24" t="n">
        <f aca="false">D105-F105</f>
        <v>2904999.99999998</v>
      </c>
      <c r="I105" s="24" t="n">
        <f aca="false">I104+E105</f>
        <v>681151.041666665</v>
      </c>
      <c r="J105" s="24" t="n">
        <f aca="false">J104+F105</f>
        <v>595000</v>
      </c>
    </row>
    <row r="106" customFormat="false" ht="15" hidden="false" customHeight="true" outlineLevel="0" collapsed="false">
      <c r="B106" s="47" t="n">
        <v>103</v>
      </c>
      <c r="C106" s="47" t="n">
        <v>9</v>
      </c>
      <c r="D106" s="22" t="n">
        <f aca="false">H105</f>
        <v>2904999.99999998</v>
      </c>
      <c r="E106" s="22" t="n">
        <f aca="false">D106*Assumptions!D10/12</f>
        <v>6052.0833333333</v>
      </c>
      <c r="F106" s="22" t="n">
        <f aca="false">Assumptions!D6*Assumptions!D12/12</f>
        <v>5833.33333333333</v>
      </c>
      <c r="G106" s="22" t="n">
        <f aca="false">E106+F106</f>
        <v>11885.4166666666</v>
      </c>
      <c r="H106" s="22" t="n">
        <f aca="false">D106-F106</f>
        <v>2899166.66666665</v>
      </c>
      <c r="I106" s="22" t="n">
        <f aca="false">I105+E106</f>
        <v>687203.124999999</v>
      </c>
      <c r="J106" s="22" t="n">
        <f aca="false">J105+F106</f>
        <v>600833.333333333</v>
      </c>
    </row>
    <row r="107" customFormat="false" ht="15" hidden="false" customHeight="true" outlineLevel="0" collapsed="false">
      <c r="B107" s="49" t="n">
        <v>104</v>
      </c>
      <c r="C107" s="49" t="n">
        <v>9</v>
      </c>
      <c r="D107" s="24" t="n">
        <f aca="false">H106</f>
        <v>2899166.66666665</v>
      </c>
      <c r="E107" s="24" t="n">
        <f aca="false">D107*Assumptions!D10/12</f>
        <v>6039.93055555552</v>
      </c>
      <c r="F107" s="24" t="n">
        <f aca="false">Assumptions!D6*Assumptions!D12/12</f>
        <v>5833.33333333333</v>
      </c>
      <c r="G107" s="24" t="n">
        <f aca="false">E107+F107</f>
        <v>11873.2638888889</v>
      </c>
      <c r="H107" s="24" t="n">
        <f aca="false">D107-F107</f>
        <v>2893333.33333332</v>
      </c>
      <c r="I107" s="24" t="n">
        <f aca="false">I106+E107</f>
        <v>693243.055555554</v>
      </c>
      <c r="J107" s="24" t="n">
        <f aca="false">J106+F107</f>
        <v>606666.666666667</v>
      </c>
    </row>
    <row r="108" customFormat="false" ht="15" hidden="false" customHeight="true" outlineLevel="0" collapsed="false">
      <c r="B108" s="47" t="n">
        <v>105</v>
      </c>
      <c r="C108" s="47" t="n">
        <v>9</v>
      </c>
      <c r="D108" s="22" t="n">
        <f aca="false">H107</f>
        <v>2893333.33333332</v>
      </c>
      <c r="E108" s="22" t="n">
        <f aca="false">D108*Assumptions!D10/12</f>
        <v>6027.77777777775</v>
      </c>
      <c r="F108" s="22" t="n">
        <f aca="false">Assumptions!D6*Assumptions!D12/12</f>
        <v>5833.33333333333</v>
      </c>
      <c r="G108" s="22" t="n">
        <f aca="false">E108+F108</f>
        <v>11861.1111111111</v>
      </c>
      <c r="H108" s="22" t="n">
        <f aca="false">D108-F108</f>
        <v>2887499.99999998</v>
      </c>
      <c r="I108" s="22" t="n">
        <f aca="false">I107+E108</f>
        <v>699270.833333332</v>
      </c>
      <c r="J108" s="22" t="n">
        <f aca="false">J107+F108</f>
        <v>612500</v>
      </c>
    </row>
    <row r="109" customFormat="false" ht="15" hidden="false" customHeight="true" outlineLevel="0" collapsed="false">
      <c r="B109" s="49" t="n">
        <v>106</v>
      </c>
      <c r="C109" s="49" t="n">
        <v>9</v>
      </c>
      <c r="D109" s="24" t="n">
        <f aca="false">H108</f>
        <v>2887499.99999998</v>
      </c>
      <c r="E109" s="24" t="n">
        <f aca="false">D109*Assumptions!D10/12</f>
        <v>6015.62499999997</v>
      </c>
      <c r="F109" s="24" t="n">
        <f aca="false">Assumptions!D6*Assumptions!D12/12</f>
        <v>5833.33333333333</v>
      </c>
      <c r="G109" s="24" t="n">
        <f aca="false">E109+F109</f>
        <v>11848.9583333333</v>
      </c>
      <c r="H109" s="24" t="n">
        <f aca="false">D109-F109</f>
        <v>2881666.66666665</v>
      </c>
      <c r="I109" s="24" t="n">
        <f aca="false">I108+E109</f>
        <v>705286.458333332</v>
      </c>
      <c r="J109" s="24" t="n">
        <f aca="false">J108+F109</f>
        <v>618333.333333333</v>
      </c>
    </row>
    <row r="110" customFormat="false" ht="15" hidden="false" customHeight="true" outlineLevel="0" collapsed="false">
      <c r="B110" s="47" t="n">
        <v>107</v>
      </c>
      <c r="C110" s="47" t="n">
        <v>9</v>
      </c>
      <c r="D110" s="22" t="n">
        <f aca="false">H109</f>
        <v>2881666.66666665</v>
      </c>
      <c r="E110" s="22" t="n">
        <f aca="false">D110*Assumptions!D10/12</f>
        <v>6003.47222222219</v>
      </c>
      <c r="F110" s="22" t="n">
        <f aca="false">Assumptions!D6*Assumptions!D12/12</f>
        <v>5833.33333333333</v>
      </c>
      <c r="G110" s="22" t="n">
        <f aca="false">E110+F110</f>
        <v>11836.8055555555</v>
      </c>
      <c r="H110" s="22" t="n">
        <f aca="false">D110-F110</f>
        <v>2875833.33333332</v>
      </c>
      <c r="I110" s="22" t="n">
        <f aca="false">I109+E110</f>
        <v>711289.930555554</v>
      </c>
      <c r="J110" s="22" t="n">
        <f aca="false">J109+F110</f>
        <v>624166.666666667</v>
      </c>
    </row>
    <row r="111" customFormat="false" ht="15" hidden="false" customHeight="true" outlineLevel="0" collapsed="false">
      <c r="B111" s="49" t="n">
        <v>108</v>
      </c>
      <c r="C111" s="49" t="n">
        <v>9</v>
      </c>
      <c r="D111" s="24" t="n">
        <f aca="false">H110</f>
        <v>2875833.33333332</v>
      </c>
      <c r="E111" s="24" t="n">
        <f aca="false">D111*Assumptions!D10/12</f>
        <v>5991.31944444441</v>
      </c>
      <c r="F111" s="24" t="n">
        <f aca="false">Assumptions!D6*Assumptions!D12/12</f>
        <v>5833.33333333333</v>
      </c>
      <c r="G111" s="24" t="n">
        <f aca="false">E111+F111</f>
        <v>11824.6527777777</v>
      </c>
      <c r="H111" s="24" t="n">
        <f aca="false">D111-F111</f>
        <v>2869999.99999998</v>
      </c>
      <c r="I111" s="24" t="n">
        <f aca="false">I110+E111</f>
        <v>717281.249999998</v>
      </c>
      <c r="J111" s="24" t="n">
        <f aca="false">J110+F111</f>
        <v>630000</v>
      </c>
    </row>
    <row r="112" customFormat="false" ht="15" hidden="false" customHeight="true" outlineLevel="0" collapsed="false">
      <c r="B112" s="47" t="n">
        <v>109</v>
      </c>
      <c r="C112" s="47" t="n">
        <v>10</v>
      </c>
      <c r="D112" s="22" t="n">
        <f aca="false">H111</f>
        <v>2869999.99999998</v>
      </c>
      <c r="E112" s="22" t="n">
        <f aca="false">D112*Assumptions!D10/12</f>
        <v>5979.16666666663</v>
      </c>
      <c r="F112" s="22" t="n">
        <f aca="false">Assumptions!D6*Assumptions!D12/12</f>
        <v>5833.33333333333</v>
      </c>
      <c r="G112" s="22" t="n">
        <f aca="false">E112+F112</f>
        <v>11812.5</v>
      </c>
      <c r="H112" s="22" t="n">
        <f aca="false">D112-F112</f>
        <v>2864166.66666665</v>
      </c>
      <c r="I112" s="22" t="n">
        <f aca="false">I111+E112</f>
        <v>723260.416666665</v>
      </c>
      <c r="J112" s="22" t="n">
        <f aca="false">J111+F112</f>
        <v>635833.333333333</v>
      </c>
    </row>
    <row r="113" customFormat="false" ht="15" hidden="false" customHeight="true" outlineLevel="0" collapsed="false">
      <c r="B113" s="49" t="n">
        <v>110</v>
      </c>
      <c r="C113" s="49" t="n">
        <v>10</v>
      </c>
      <c r="D113" s="24" t="n">
        <f aca="false">H112</f>
        <v>2864166.66666665</v>
      </c>
      <c r="E113" s="24" t="n">
        <f aca="false">D113*Assumptions!D10/12</f>
        <v>5967.01388888885</v>
      </c>
      <c r="F113" s="24" t="n">
        <f aca="false">Assumptions!D6*Assumptions!D12/12</f>
        <v>5833.33333333333</v>
      </c>
      <c r="G113" s="24" t="n">
        <f aca="false">E113+F113</f>
        <v>11800.3472222222</v>
      </c>
      <c r="H113" s="24" t="n">
        <f aca="false">D113-F113</f>
        <v>2858333.33333332</v>
      </c>
      <c r="I113" s="24" t="n">
        <f aca="false">I112+E113</f>
        <v>729227.430555554</v>
      </c>
      <c r="J113" s="24" t="n">
        <f aca="false">J112+F113</f>
        <v>641666.666666667</v>
      </c>
    </row>
    <row r="114" customFormat="false" ht="15" hidden="false" customHeight="true" outlineLevel="0" collapsed="false">
      <c r="B114" s="47" t="n">
        <v>111</v>
      </c>
      <c r="C114" s="47" t="n">
        <v>10</v>
      </c>
      <c r="D114" s="22" t="n">
        <f aca="false">H113</f>
        <v>2858333.33333332</v>
      </c>
      <c r="E114" s="22" t="n">
        <f aca="false">D114*Assumptions!D10/12</f>
        <v>5954.86111111108</v>
      </c>
      <c r="F114" s="22" t="n">
        <f aca="false">Assumptions!D6*Assumptions!D12/12</f>
        <v>5833.33333333333</v>
      </c>
      <c r="G114" s="22" t="n">
        <f aca="false">E114+F114</f>
        <v>11788.1944444444</v>
      </c>
      <c r="H114" s="22" t="n">
        <f aca="false">D114-F114</f>
        <v>2852499.99999998</v>
      </c>
      <c r="I114" s="22" t="n">
        <f aca="false">I113+E114</f>
        <v>735182.291666665</v>
      </c>
      <c r="J114" s="22" t="n">
        <f aca="false">J113+F114</f>
        <v>647500</v>
      </c>
    </row>
    <row r="115" customFormat="false" ht="15" hidden="false" customHeight="true" outlineLevel="0" collapsed="false">
      <c r="B115" s="49" t="n">
        <v>112</v>
      </c>
      <c r="C115" s="49" t="n">
        <v>10</v>
      </c>
      <c r="D115" s="24" t="n">
        <f aca="false">H114</f>
        <v>2852499.99999998</v>
      </c>
      <c r="E115" s="24" t="n">
        <f aca="false">D115*Assumptions!D10/12</f>
        <v>5942.7083333333</v>
      </c>
      <c r="F115" s="24" t="n">
        <f aca="false">Assumptions!D6*Assumptions!D12/12</f>
        <v>5833.33333333333</v>
      </c>
      <c r="G115" s="24" t="n">
        <f aca="false">E115+F115</f>
        <v>11776.0416666666</v>
      </c>
      <c r="H115" s="24" t="n">
        <f aca="false">D115-F115</f>
        <v>2846666.66666665</v>
      </c>
      <c r="I115" s="24" t="n">
        <f aca="false">I114+E115</f>
        <v>741124.999999998</v>
      </c>
      <c r="J115" s="24" t="n">
        <f aca="false">J114+F115</f>
        <v>653333.333333334</v>
      </c>
    </row>
    <row r="116" customFormat="false" ht="15" hidden="false" customHeight="true" outlineLevel="0" collapsed="false">
      <c r="B116" s="47" t="n">
        <v>113</v>
      </c>
      <c r="C116" s="47" t="n">
        <v>10</v>
      </c>
      <c r="D116" s="22" t="n">
        <f aca="false">H115</f>
        <v>2846666.66666665</v>
      </c>
      <c r="E116" s="22" t="n">
        <f aca="false">D116*Assumptions!D10/12</f>
        <v>5930.55555555552</v>
      </c>
      <c r="F116" s="22" t="n">
        <f aca="false">Assumptions!D6*Assumptions!D12/12</f>
        <v>5833.33333333333</v>
      </c>
      <c r="G116" s="22" t="n">
        <f aca="false">E116+F116</f>
        <v>11763.8888888889</v>
      </c>
      <c r="H116" s="22" t="n">
        <f aca="false">D116-F116</f>
        <v>2840833.33333332</v>
      </c>
      <c r="I116" s="22" t="n">
        <f aca="false">I115+E116</f>
        <v>747055.555555554</v>
      </c>
      <c r="J116" s="22" t="n">
        <f aca="false">J115+F116</f>
        <v>659166.666666667</v>
      </c>
    </row>
    <row r="117" customFormat="false" ht="15" hidden="false" customHeight="true" outlineLevel="0" collapsed="false">
      <c r="B117" s="49" t="n">
        <v>114</v>
      </c>
      <c r="C117" s="49" t="n">
        <v>10</v>
      </c>
      <c r="D117" s="24" t="n">
        <f aca="false">H116</f>
        <v>2840833.33333332</v>
      </c>
      <c r="E117" s="24" t="n">
        <f aca="false">D117*Assumptions!D10/12</f>
        <v>5918.40277777774</v>
      </c>
      <c r="F117" s="24" t="n">
        <f aca="false">Assumptions!D6*Assumptions!D12/12</f>
        <v>5833.33333333333</v>
      </c>
      <c r="G117" s="24" t="n">
        <f aca="false">E117+F117</f>
        <v>11751.7361111111</v>
      </c>
      <c r="H117" s="24" t="n">
        <f aca="false">D117-F117</f>
        <v>2834999.99999998</v>
      </c>
      <c r="I117" s="24" t="n">
        <f aca="false">I116+E117</f>
        <v>752973.958333331</v>
      </c>
      <c r="J117" s="24" t="n">
        <f aca="false">J116+F117</f>
        <v>665000</v>
      </c>
    </row>
    <row r="118" customFormat="false" ht="15" hidden="false" customHeight="true" outlineLevel="0" collapsed="false">
      <c r="B118" s="47" t="n">
        <v>115</v>
      </c>
      <c r="C118" s="47" t="n">
        <v>10</v>
      </c>
      <c r="D118" s="22" t="n">
        <f aca="false">H117</f>
        <v>2834999.99999998</v>
      </c>
      <c r="E118" s="22" t="n">
        <f aca="false">D118*Assumptions!D10/12</f>
        <v>5906.24999999996</v>
      </c>
      <c r="F118" s="22" t="n">
        <f aca="false">Assumptions!D6*Assumptions!D12/12</f>
        <v>5833.33333333333</v>
      </c>
      <c r="G118" s="22" t="n">
        <f aca="false">E118+F118</f>
        <v>11739.5833333333</v>
      </c>
      <c r="H118" s="22" t="n">
        <f aca="false">D118-F118</f>
        <v>2829166.66666665</v>
      </c>
      <c r="I118" s="22" t="n">
        <f aca="false">I117+E118</f>
        <v>758880.208333331</v>
      </c>
      <c r="J118" s="22" t="n">
        <f aca="false">J117+F118</f>
        <v>670833.333333334</v>
      </c>
    </row>
    <row r="119" customFormat="false" ht="15" hidden="false" customHeight="true" outlineLevel="0" collapsed="false">
      <c r="B119" s="49" t="n">
        <v>116</v>
      </c>
      <c r="C119" s="49" t="n">
        <v>10</v>
      </c>
      <c r="D119" s="24" t="n">
        <f aca="false">H118</f>
        <v>2829166.66666665</v>
      </c>
      <c r="E119" s="24" t="n">
        <f aca="false">D119*Assumptions!D10/12</f>
        <v>5894.09722222219</v>
      </c>
      <c r="F119" s="24" t="n">
        <f aca="false">Assumptions!D6*Assumptions!D12/12</f>
        <v>5833.33333333333</v>
      </c>
      <c r="G119" s="24" t="n">
        <f aca="false">E119+F119</f>
        <v>11727.4305555555</v>
      </c>
      <c r="H119" s="24" t="n">
        <f aca="false">D119-F119</f>
        <v>2823333.33333332</v>
      </c>
      <c r="I119" s="24" t="n">
        <f aca="false">I118+E119</f>
        <v>764774.305555554</v>
      </c>
      <c r="J119" s="24" t="n">
        <f aca="false">J118+F119</f>
        <v>676666.666666667</v>
      </c>
    </row>
    <row r="120" customFormat="false" ht="15" hidden="false" customHeight="true" outlineLevel="0" collapsed="false">
      <c r="B120" s="47" t="n">
        <v>117</v>
      </c>
      <c r="C120" s="47" t="n">
        <v>10</v>
      </c>
      <c r="D120" s="22" t="n">
        <f aca="false">H119</f>
        <v>2823333.33333332</v>
      </c>
      <c r="E120" s="22" t="n">
        <f aca="false">D120*Assumptions!D10/12</f>
        <v>5881.94444444441</v>
      </c>
      <c r="F120" s="22" t="n">
        <f aca="false">Assumptions!D6*Assumptions!D12/12</f>
        <v>5833.33333333333</v>
      </c>
      <c r="G120" s="22" t="n">
        <f aca="false">E120+F120</f>
        <v>11715.2777777777</v>
      </c>
      <c r="H120" s="22" t="n">
        <f aca="false">D120-F120</f>
        <v>2817499.99999998</v>
      </c>
      <c r="I120" s="22" t="n">
        <f aca="false">I119+E120</f>
        <v>770656.249999998</v>
      </c>
      <c r="J120" s="22" t="n">
        <f aca="false">J119+F120</f>
        <v>682500</v>
      </c>
    </row>
    <row r="121" customFormat="false" ht="15" hidden="false" customHeight="true" outlineLevel="0" collapsed="false">
      <c r="B121" s="49" t="n">
        <v>118</v>
      </c>
      <c r="C121" s="49" t="n">
        <v>10</v>
      </c>
      <c r="D121" s="24" t="n">
        <f aca="false">H120</f>
        <v>2817499.99999998</v>
      </c>
      <c r="E121" s="24" t="n">
        <f aca="false">D121*Assumptions!D10/12</f>
        <v>5869.79166666663</v>
      </c>
      <c r="F121" s="24" t="n">
        <f aca="false">Assumptions!D6*Assumptions!D12/12</f>
        <v>5833.33333333333</v>
      </c>
      <c r="G121" s="24" t="n">
        <f aca="false">E121+F121</f>
        <v>11703.125</v>
      </c>
      <c r="H121" s="24" t="n">
        <f aca="false">D121-F121</f>
        <v>2811666.66666665</v>
      </c>
      <c r="I121" s="24" t="n">
        <f aca="false">I120+E121</f>
        <v>776526.041666665</v>
      </c>
      <c r="J121" s="24" t="n">
        <f aca="false">J120+F121</f>
        <v>688333.333333334</v>
      </c>
    </row>
    <row r="122" customFormat="false" ht="15" hidden="false" customHeight="true" outlineLevel="0" collapsed="false">
      <c r="B122" s="47" t="n">
        <v>119</v>
      </c>
      <c r="C122" s="47" t="n">
        <v>10</v>
      </c>
      <c r="D122" s="22" t="n">
        <f aca="false">H121</f>
        <v>2811666.66666665</v>
      </c>
      <c r="E122" s="22" t="n">
        <f aca="false">D122*Assumptions!D10/12</f>
        <v>5857.63888888885</v>
      </c>
      <c r="F122" s="22" t="n">
        <f aca="false">Assumptions!D6*Assumptions!D12/12</f>
        <v>5833.33333333333</v>
      </c>
      <c r="G122" s="22" t="n">
        <f aca="false">E122+F122</f>
        <v>11690.9722222222</v>
      </c>
      <c r="H122" s="22" t="n">
        <f aca="false">D122-F122</f>
        <v>2805833.33333332</v>
      </c>
      <c r="I122" s="22" t="n">
        <f aca="false">I121+E122</f>
        <v>782383.680555553</v>
      </c>
      <c r="J122" s="22" t="n">
        <f aca="false">J121+F122</f>
        <v>694166.666666667</v>
      </c>
    </row>
    <row r="123" customFormat="false" ht="15" hidden="false" customHeight="true" outlineLevel="0" collapsed="false">
      <c r="B123" s="49" t="n">
        <v>120</v>
      </c>
      <c r="C123" s="49" t="n">
        <v>10</v>
      </c>
      <c r="D123" s="24" t="n">
        <f aca="false">H122</f>
        <v>2805833.33333332</v>
      </c>
      <c r="E123" s="24" t="n">
        <f aca="false">D123*Assumptions!D10/12</f>
        <v>5845.48611111107</v>
      </c>
      <c r="F123" s="24" t="n">
        <f aca="false">Assumptions!D6*Assumptions!D12/12</f>
        <v>5833.33333333333</v>
      </c>
      <c r="G123" s="24" t="n">
        <f aca="false">E123+F123</f>
        <v>11678.8194444444</v>
      </c>
      <c r="H123" s="24" t="n">
        <f aca="false">D123-F123</f>
        <v>2799999.99999998</v>
      </c>
      <c r="I123" s="24" t="n">
        <f aca="false">I122+E123</f>
        <v>788229.166666665</v>
      </c>
      <c r="J123" s="24" t="n">
        <f aca="false">J122+F123</f>
        <v>700000.000000001</v>
      </c>
    </row>
    <row r="124" customFormat="false" ht="15" hidden="false" customHeight="true" outlineLevel="0" collapsed="false">
      <c r="B124" s="47" t="n">
        <v>121</v>
      </c>
      <c r="C124" s="47" t="n">
        <v>11</v>
      </c>
      <c r="D124" s="22" t="n">
        <f aca="false">H123</f>
        <v>2799999.99999998</v>
      </c>
      <c r="E124" s="22" t="n">
        <f aca="false">D124*Assumptions!D10/12</f>
        <v>5833.3333333333</v>
      </c>
      <c r="F124" s="22" t="n">
        <f aca="false">Assumptions!D6*Assumptions!D12/12</f>
        <v>5833.33333333333</v>
      </c>
      <c r="G124" s="22" t="n">
        <f aca="false">E124+F124</f>
        <v>11666.6666666666</v>
      </c>
      <c r="H124" s="22" t="n">
        <f aca="false">D124-F124</f>
        <v>2794166.66666665</v>
      </c>
      <c r="I124" s="22" t="n">
        <f aca="false">I123+E124</f>
        <v>794062.499999998</v>
      </c>
      <c r="J124" s="22" t="n">
        <f aca="false">J123+F124</f>
        <v>705833.333333334</v>
      </c>
    </row>
    <row r="125" customFormat="false" ht="15" hidden="false" customHeight="true" outlineLevel="0" collapsed="false">
      <c r="B125" s="49" t="n">
        <v>122</v>
      </c>
      <c r="C125" s="49" t="n">
        <v>11</v>
      </c>
      <c r="D125" s="24" t="n">
        <f aca="false">H124</f>
        <v>2794166.66666665</v>
      </c>
      <c r="E125" s="24" t="n">
        <f aca="false">D125*Assumptions!D10/12</f>
        <v>5821.18055555552</v>
      </c>
      <c r="F125" s="24" t="n">
        <f aca="false">Assumptions!D6*Assumptions!D12/12</f>
        <v>5833.33333333333</v>
      </c>
      <c r="G125" s="24" t="n">
        <f aca="false">E125+F125</f>
        <v>11654.5138888889</v>
      </c>
      <c r="H125" s="24" t="n">
        <f aca="false">D125-F125</f>
        <v>2788333.33333331</v>
      </c>
      <c r="I125" s="24" t="n">
        <f aca="false">I124+E125</f>
        <v>799883.680555553</v>
      </c>
      <c r="J125" s="24" t="n">
        <f aca="false">J124+F125</f>
        <v>711666.666666667</v>
      </c>
    </row>
    <row r="126" customFormat="false" ht="15" hidden="false" customHeight="true" outlineLevel="0" collapsed="false">
      <c r="B126" s="47" t="n">
        <v>123</v>
      </c>
      <c r="C126" s="47" t="n">
        <v>11</v>
      </c>
      <c r="D126" s="22" t="n">
        <f aca="false">H125</f>
        <v>2788333.33333331</v>
      </c>
      <c r="E126" s="22" t="n">
        <f aca="false">D126*Assumptions!D10/12</f>
        <v>5809.02777777774</v>
      </c>
      <c r="F126" s="22" t="n">
        <f aca="false">Assumptions!D6*Assumptions!D12/12</f>
        <v>5833.33333333333</v>
      </c>
      <c r="G126" s="22" t="n">
        <f aca="false">E126+F126</f>
        <v>11642.3611111111</v>
      </c>
      <c r="H126" s="22" t="n">
        <f aca="false">D126-F126</f>
        <v>2782499.99999998</v>
      </c>
      <c r="I126" s="22" t="n">
        <f aca="false">I125+E126</f>
        <v>805692.708333331</v>
      </c>
      <c r="J126" s="22" t="n">
        <f aca="false">J125+F126</f>
        <v>717500.000000001</v>
      </c>
    </row>
    <row r="127" customFormat="false" ht="15" hidden="false" customHeight="true" outlineLevel="0" collapsed="false">
      <c r="B127" s="49" t="n">
        <v>124</v>
      </c>
      <c r="C127" s="49" t="n">
        <v>11</v>
      </c>
      <c r="D127" s="24" t="n">
        <f aca="false">H126</f>
        <v>2782499.99999998</v>
      </c>
      <c r="E127" s="24" t="n">
        <f aca="false">D127*Assumptions!D10/12</f>
        <v>5796.87499999996</v>
      </c>
      <c r="F127" s="24" t="n">
        <f aca="false">Assumptions!D6*Assumptions!D12/12</f>
        <v>5833.33333333333</v>
      </c>
      <c r="G127" s="24" t="n">
        <f aca="false">E127+F127</f>
        <v>11630.2083333333</v>
      </c>
      <c r="H127" s="24" t="n">
        <f aca="false">D127-F127</f>
        <v>2776666.66666665</v>
      </c>
      <c r="I127" s="24" t="n">
        <f aca="false">I126+E127</f>
        <v>811489.583333331</v>
      </c>
      <c r="J127" s="24" t="n">
        <f aca="false">J126+F127</f>
        <v>723333.333333334</v>
      </c>
    </row>
    <row r="128" customFormat="false" ht="15" hidden="false" customHeight="true" outlineLevel="0" collapsed="false">
      <c r="B128" s="47" t="n">
        <v>125</v>
      </c>
      <c r="C128" s="47" t="n">
        <v>11</v>
      </c>
      <c r="D128" s="22" t="n">
        <f aca="false">H127</f>
        <v>2776666.66666665</v>
      </c>
      <c r="E128" s="22" t="n">
        <f aca="false">D128*Assumptions!D10/12</f>
        <v>5784.72222222218</v>
      </c>
      <c r="F128" s="22" t="n">
        <f aca="false">Assumptions!D6*Assumptions!D12/12</f>
        <v>5833.33333333333</v>
      </c>
      <c r="G128" s="22" t="n">
        <f aca="false">E128+F128</f>
        <v>11618.0555555555</v>
      </c>
      <c r="H128" s="22" t="n">
        <f aca="false">D128-F128</f>
        <v>2770833.33333331</v>
      </c>
      <c r="I128" s="22" t="n">
        <f aca="false">I127+E128</f>
        <v>817274.305555553</v>
      </c>
      <c r="J128" s="22" t="n">
        <f aca="false">J127+F128</f>
        <v>729166.666666667</v>
      </c>
    </row>
    <row r="129" customFormat="false" ht="15" hidden="false" customHeight="true" outlineLevel="0" collapsed="false">
      <c r="B129" s="49" t="n">
        <v>126</v>
      </c>
      <c r="C129" s="49" t="n">
        <v>11</v>
      </c>
      <c r="D129" s="24" t="n">
        <f aca="false">H128</f>
        <v>2770833.33333331</v>
      </c>
      <c r="E129" s="24" t="n">
        <f aca="false">D129*Assumptions!D10/12</f>
        <v>5772.5694444444</v>
      </c>
      <c r="F129" s="24" t="n">
        <f aca="false">Assumptions!D6*Assumptions!D12/12</f>
        <v>5833.33333333333</v>
      </c>
      <c r="G129" s="24" t="n">
        <f aca="false">E129+F129</f>
        <v>11605.9027777777</v>
      </c>
      <c r="H129" s="24" t="n">
        <f aca="false">D129-F129</f>
        <v>2764999.99999998</v>
      </c>
      <c r="I129" s="24" t="n">
        <f aca="false">I128+E129</f>
        <v>823046.874999998</v>
      </c>
      <c r="J129" s="24" t="n">
        <f aca="false">J128+F129</f>
        <v>735000.000000001</v>
      </c>
    </row>
    <row r="130" customFormat="false" ht="15" hidden="false" customHeight="true" outlineLevel="0" collapsed="false">
      <c r="B130" s="47" t="n">
        <v>127</v>
      </c>
      <c r="C130" s="47" t="n">
        <v>11</v>
      </c>
      <c r="D130" s="22" t="n">
        <f aca="false">H129</f>
        <v>2764999.99999998</v>
      </c>
      <c r="E130" s="22" t="n">
        <f aca="false">D130*Assumptions!D10/12</f>
        <v>5760.41666666663</v>
      </c>
      <c r="F130" s="22" t="n">
        <f aca="false">Assumptions!D6*Assumptions!D12/12</f>
        <v>5833.33333333333</v>
      </c>
      <c r="G130" s="22" t="n">
        <f aca="false">E130+F130</f>
        <v>11593.75</v>
      </c>
      <c r="H130" s="22" t="n">
        <f aca="false">D130-F130</f>
        <v>2759166.66666665</v>
      </c>
      <c r="I130" s="22" t="n">
        <f aca="false">I129+E130</f>
        <v>828807.291666664</v>
      </c>
      <c r="J130" s="22" t="n">
        <f aca="false">J129+F130</f>
        <v>740833.333333334</v>
      </c>
    </row>
    <row r="131" customFormat="false" ht="15" hidden="false" customHeight="true" outlineLevel="0" collapsed="false">
      <c r="B131" s="49" t="n">
        <v>128</v>
      </c>
      <c r="C131" s="49" t="n">
        <v>11</v>
      </c>
      <c r="D131" s="24" t="n">
        <f aca="false">H130</f>
        <v>2759166.66666665</v>
      </c>
      <c r="E131" s="24" t="n">
        <f aca="false">D131*Assumptions!D10/12</f>
        <v>5748.26388888885</v>
      </c>
      <c r="F131" s="24" t="n">
        <f aca="false">Assumptions!D6*Assumptions!D12/12</f>
        <v>5833.33333333333</v>
      </c>
      <c r="G131" s="24" t="n">
        <f aca="false">E131+F131</f>
        <v>11581.5972222222</v>
      </c>
      <c r="H131" s="24" t="n">
        <f aca="false">D131-F131</f>
        <v>2753333.33333331</v>
      </c>
      <c r="I131" s="24" t="n">
        <f aca="false">I130+E131</f>
        <v>834555.555555553</v>
      </c>
      <c r="J131" s="24" t="n">
        <f aca="false">J130+F131</f>
        <v>746666.666666667</v>
      </c>
    </row>
    <row r="132" customFormat="false" ht="15" hidden="false" customHeight="true" outlineLevel="0" collapsed="false">
      <c r="B132" s="47" t="n">
        <v>129</v>
      </c>
      <c r="C132" s="47" t="n">
        <v>11</v>
      </c>
      <c r="D132" s="22" t="n">
        <f aca="false">H131</f>
        <v>2753333.33333331</v>
      </c>
      <c r="E132" s="22" t="n">
        <f aca="false">D132*Assumptions!D10/12</f>
        <v>5736.11111111107</v>
      </c>
      <c r="F132" s="22" t="n">
        <f aca="false">Assumptions!D6*Assumptions!D12/12</f>
        <v>5833.33333333333</v>
      </c>
      <c r="G132" s="22" t="n">
        <f aca="false">E132+F132</f>
        <v>11569.4444444444</v>
      </c>
      <c r="H132" s="22" t="n">
        <f aca="false">D132-F132</f>
        <v>2747499.99999998</v>
      </c>
      <c r="I132" s="22" t="n">
        <f aca="false">I131+E132</f>
        <v>840291.666666664</v>
      </c>
      <c r="J132" s="22" t="n">
        <f aca="false">J131+F132</f>
        <v>752500.000000001</v>
      </c>
    </row>
    <row r="133" customFormat="false" ht="15" hidden="false" customHeight="true" outlineLevel="0" collapsed="false">
      <c r="B133" s="49" t="n">
        <v>130</v>
      </c>
      <c r="C133" s="49" t="n">
        <v>11</v>
      </c>
      <c r="D133" s="24" t="n">
        <f aca="false">H132</f>
        <v>2747499.99999998</v>
      </c>
      <c r="E133" s="24" t="n">
        <f aca="false">D133*Assumptions!D10/12</f>
        <v>5723.95833333329</v>
      </c>
      <c r="F133" s="24" t="n">
        <f aca="false">Assumptions!D6*Assumptions!D12/12</f>
        <v>5833.33333333333</v>
      </c>
      <c r="G133" s="24" t="n">
        <f aca="false">E133+F133</f>
        <v>11557.2916666666</v>
      </c>
      <c r="H133" s="24" t="n">
        <f aca="false">D133-F133</f>
        <v>2741666.66666665</v>
      </c>
      <c r="I133" s="24" t="n">
        <f aca="false">I132+E133</f>
        <v>846015.624999997</v>
      </c>
      <c r="J133" s="24" t="n">
        <f aca="false">J132+F133</f>
        <v>758333.333333334</v>
      </c>
    </row>
    <row r="134" customFormat="false" ht="15" hidden="false" customHeight="true" outlineLevel="0" collapsed="false">
      <c r="B134" s="47" t="n">
        <v>131</v>
      </c>
      <c r="C134" s="47" t="n">
        <v>11</v>
      </c>
      <c r="D134" s="22" t="n">
        <f aca="false">H133</f>
        <v>2741666.66666665</v>
      </c>
      <c r="E134" s="22" t="n">
        <f aca="false">D134*Assumptions!D10/12</f>
        <v>5711.80555555551</v>
      </c>
      <c r="F134" s="22" t="n">
        <f aca="false">Assumptions!D6*Assumptions!D12/12</f>
        <v>5833.33333333333</v>
      </c>
      <c r="G134" s="22" t="n">
        <f aca="false">E134+F134</f>
        <v>11545.1388888888</v>
      </c>
      <c r="H134" s="22" t="n">
        <f aca="false">D134-F134</f>
        <v>2735833.33333331</v>
      </c>
      <c r="I134" s="22" t="n">
        <f aca="false">I133+E134</f>
        <v>851727.430555553</v>
      </c>
      <c r="J134" s="22" t="n">
        <f aca="false">J133+F134</f>
        <v>764166.666666668</v>
      </c>
    </row>
    <row r="135" customFormat="false" ht="15" hidden="false" customHeight="true" outlineLevel="0" collapsed="false">
      <c r="B135" s="49" t="n">
        <v>132</v>
      </c>
      <c r="C135" s="49" t="n">
        <v>11</v>
      </c>
      <c r="D135" s="24" t="n">
        <f aca="false">H134</f>
        <v>2735833.33333331</v>
      </c>
      <c r="E135" s="24" t="n">
        <f aca="false">D135*Assumptions!D10/12</f>
        <v>5699.65277777774</v>
      </c>
      <c r="F135" s="24" t="n">
        <f aca="false">Assumptions!D6*Assumptions!D12/12</f>
        <v>5833.33333333333</v>
      </c>
      <c r="G135" s="24" t="n">
        <f aca="false">E135+F135</f>
        <v>11532.9861111111</v>
      </c>
      <c r="H135" s="24" t="n">
        <f aca="false">D135-F135</f>
        <v>2729999.99999998</v>
      </c>
      <c r="I135" s="24" t="n">
        <f aca="false">I134+E135</f>
        <v>857427.083333331</v>
      </c>
      <c r="J135" s="24" t="n">
        <f aca="false">J134+F135</f>
        <v>770000.000000001</v>
      </c>
    </row>
    <row r="136" customFormat="false" ht="15" hidden="false" customHeight="true" outlineLevel="0" collapsed="false">
      <c r="B136" s="47" t="n">
        <v>133</v>
      </c>
      <c r="C136" s="47" t="n">
        <v>12</v>
      </c>
      <c r="D136" s="22" t="n">
        <f aca="false">H135</f>
        <v>2729999.99999998</v>
      </c>
      <c r="E136" s="22" t="n">
        <f aca="false">D136*Assumptions!D10/12</f>
        <v>5687.49999999996</v>
      </c>
      <c r="F136" s="22" t="n">
        <f aca="false">Assumptions!D6*Assumptions!D12/12</f>
        <v>5833.33333333333</v>
      </c>
      <c r="G136" s="22" t="n">
        <f aca="false">E136+F136</f>
        <v>11520.8333333333</v>
      </c>
      <c r="H136" s="22" t="n">
        <f aca="false">D136-F136</f>
        <v>2724166.66666665</v>
      </c>
      <c r="I136" s="22" t="n">
        <f aca="false">I135+E136</f>
        <v>863114.583333331</v>
      </c>
      <c r="J136" s="22" t="n">
        <f aca="false">J135+F136</f>
        <v>775833.333333334</v>
      </c>
    </row>
    <row r="137" customFormat="false" ht="15" hidden="false" customHeight="true" outlineLevel="0" collapsed="false">
      <c r="B137" s="49" t="n">
        <v>134</v>
      </c>
      <c r="C137" s="49" t="n">
        <v>12</v>
      </c>
      <c r="D137" s="24" t="n">
        <f aca="false">H136</f>
        <v>2724166.66666665</v>
      </c>
      <c r="E137" s="24" t="n">
        <f aca="false">D137*Assumptions!D10/12</f>
        <v>5675.34722222218</v>
      </c>
      <c r="F137" s="24" t="n">
        <f aca="false">Assumptions!D6*Assumptions!D12/12</f>
        <v>5833.33333333333</v>
      </c>
      <c r="G137" s="24" t="n">
        <f aca="false">E137+F137</f>
        <v>11508.6805555555</v>
      </c>
      <c r="H137" s="24" t="n">
        <f aca="false">D137-F137</f>
        <v>2718333.33333331</v>
      </c>
      <c r="I137" s="24" t="n">
        <f aca="false">I136+E137</f>
        <v>868789.930555553</v>
      </c>
      <c r="J137" s="24" t="n">
        <f aca="false">J136+F137</f>
        <v>781666.666666668</v>
      </c>
    </row>
    <row r="138" customFormat="false" ht="15" hidden="false" customHeight="true" outlineLevel="0" collapsed="false">
      <c r="B138" s="47" t="n">
        <v>135</v>
      </c>
      <c r="C138" s="47" t="n">
        <v>12</v>
      </c>
      <c r="D138" s="22" t="n">
        <f aca="false">H137</f>
        <v>2718333.33333331</v>
      </c>
      <c r="E138" s="22" t="n">
        <f aca="false">D138*Assumptions!D10/12</f>
        <v>5663.1944444444</v>
      </c>
      <c r="F138" s="22" t="n">
        <f aca="false">Assumptions!D6*Assumptions!D12/12</f>
        <v>5833.33333333333</v>
      </c>
      <c r="G138" s="22" t="n">
        <f aca="false">E138+F138</f>
        <v>11496.5277777777</v>
      </c>
      <c r="H138" s="22" t="n">
        <f aca="false">D138-F138</f>
        <v>2712499.99999998</v>
      </c>
      <c r="I138" s="22" t="n">
        <f aca="false">I137+E138</f>
        <v>874453.124999997</v>
      </c>
      <c r="J138" s="22" t="n">
        <f aca="false">J137+F138</f>
        <v>787500.000000001</v>
      </c>
    </row>
    <row r="139" customFormat="false" ht="15" hidden="false" customHeight="true" outlineLevel="0" collapsed="false">
      <c r="B139" s="49" t="n">
        <v>136</v>
      </c>
      <c r="C139" s="49" t="n">
        <v>12</v>
      </c>
      <c r="D139" s="24" t="n">
        <f aca="false">H138</f>
        <v>2712499.99999998</v>
      </c>
      <c r="E139" s="24" t="n">
        <f aca="false">D139*Assumptions!D10/12</f>
        <v>5651.04166666662</v>
      </c>
      <c r="F139" s="24" t="n">
        <f aca="false">Assumptions!D6*Assumptions!D12/12</f>
        <v>5833.33333333333</v>
      </c>
      <c r="G139" s="24" t="n">
        <f aca="false">E139+F139</f>
        <v>11484.375</v>
      </c>
      <c r="H139" s="24" t="n">
        <f aca="false">D139-F139</f>
        <v>2706666.66666665</v>
      </c>
      <c r="I139" s="24" t="n">
        <f aca="false">I138+E139</f>
        <v>880104.166666664</v>
      </c>
      <c r="J139" s="24" t="n">
        <f aca="false">J138+F139</f>
        <v>793333.333333334</v>
      </c>
    </row>
    <row r="140" customFormat="false" ht="15" hidden="false" customHeight="true" outlineLevel="0" collapsed="false">
      <c r="B140" s="47" t="n">
        <v>137</v>
      </c>
      <c r="C140" s="47" t="n">
        <v>12</v>
      </c>
      <c r="D140" s="22" t="n">
        <f aca="false">H139</f>
        <v>2706666.66666665</v>
      </c>
      <c r="E140" s="22" t="n">
        <f aca="false">D140*Assumptions!D10/12</f>
        <v>5638.88888888885</v>
      </c>
      <c r="F140" s="22" t="n">
        <f aca="false">Assumptions!D6*Assumptions!D12/12</f>
        <v>5833.33333333333</v>
      </c>
      <c r="G140" s="22" t="n">
        <f aca="false">E140+F140</f>
        <v>11472.2222222222</v>
      </c>
      <c r="H140" s="22" t="n">
        <f aca="false">D140-F140</f>
        <v>2700833.33333331</v>
      </c>
      <c r="I140" s="22" t="n">
        <f aca="false">I139+E140</f>
        <v>885743.055555553</v>
      </c>
      <c r="J140" s="22" t="n">
        <f aca="false">J139+F140</f>
        <v>799166.666666668</v>
      </c>
    </row>
    <row r="141" customFormat="false" ht="15" hidden="false" customHeight="true" outlineLevel="0" collapsed="false">
      <c r="B141" s="49" t="n">
        <v>138</v>
      </c>
      <c r="C141" s="49" t="n">
        <v>12</v>
      </c>
      <c r="D141" s="24" t="n">
        <f aca="false">H140</f>
        <v>2700833.33333331</v>
      </c>
      <c r="E141" s="24" t="n">
        <f aca="false">D141*Assumptions!D10/12</f>
        <v>5626.73611111107</v>
      </c>
      <c r="F141" s="24" t="n">
        <f aca="false">Assumptions!D6*Assumptions!D12/12</f>
        <v>5833.33333333333</v>
      </c>
      <c r="G141" s="24" t="n">
        <f aca="false">E141+F141</f>
        <v>11460.0694444444</v>
      </c>
      <c r="H141" s="24" t="n">
        <f aca="false">D141-F141</f>
        <v>2694999.99999998</v>
      </c>
      <c r="I141" s="24" t="n">
        <f aca="false">I140+E141</f>
        <v>891369.791666664</v>
      </c>
      <c r="J141" s="24" t="n">
        <f aca="false">J140+F141</f>
        <v>805000.000000001</v>
      </c>
    </row>
    <row r="142" customFormat="false" ht="15" hidden="false" customHeight="true" outlineLevel="0" collapsed="false">
      <c r="B142" s="47" t="n">
        <v>139</v>
      </c>
      <c r="C142" s="47" t="n">
        <v>12</v>
      </c>
      <c r="D142" s="22" t="n">
        <f aca="false">H141</f>
        <v>2694999.99999998</v>
      </c>
      <c r="E142" s="22" t="n">
        <f aca="false">D142*Assumptions!D10/12</f>
        <v>5614.58333333329</v>
      </c>
      <c r="F142" s="22" t="n">
        <f aca="false">Assumptions!D6*Assumptions!D12/12</f>
        <v>5833.33333333333</v>
      </c>
      <c r="G142" s="22" t="n">
        <f aca="false">E142+F142</f>
        <v>11447.9166666666</v>
      </c>
      <c r="H142" s="22" t="n">
        <f aca="false">D142-F142</f>
        <v>2689166.66666665</v>
      </c>
      <c r="I142" s="22" t="n">
        <f aca="false">I141+E142</f>
        <v>896984.374999997</v>
      </c>
      <c r="J142" s="22" t="n">
        <f aca="false">J141+F142</f>
        <v>810833.333333335</v>
      </c>
    </row>
    <row r="143" customFormat="false" ht="15" hidden="false" customHeight="true" outlineLevel="0" collapsed="false">
      <c r="B143" s="49" t="n">
        <v>140</v>
      </c>
      <c r="C143" s="49" t="n">
        <v>12</v>
      </c>
      <c r="D143" s="24" t="n">
        <f aca="false">H142</f>
        <v>2689166.66666665</v>
      </c>
      <c r="E143" s="24" t="n">
        <f aca="false">D143*Assumptions!D10/12</f>
        <v>5602.43055555551</v>
      </c>
      <c r="F143" s="24" t="n">
        <f aca="false">Assumptions!D6*Assumptions!D12/12</f>
        <v>5833.33333333333</v>
      </c>
      <c r="G143" s="24" t="n">
        <f aca="false">E143+F143</f>
        <v>11435.7638888888</v>
      </c>
      <c r="H143" s="24" t="n">
        <f aca="false">D143-F143</f>
        <v>2683333.33333331</v>
      </c>
      <c r="I143" s="24" t="n">
        <f aca="false">I142+E143</f>
        <v>902586.805555553</v>
      </c>
      <c r="J143" s="24" t="n">
        <f aca="false">J142+F143</f>
        <v>816666.666666668</v>
      </c>
    </row>
    <row r="144" customFormat="false" ht="15" hidden="false" customHeight="true" outlineLevel="0" collapsed="false">
      <c r="B144" s="47" t="n">
        <v>141</v>
      </c>
      <c r="C144" s="47" t="n">
        <v>12</v>
      </c>
      <c r="D144" s="22" t="n">
        <f aca="false">H143</f>
        <v>2683333.33333331</v>
      </c>
      <c r="E144" s="22" t="n">
        <f aca="false">D144*Assumptions!D10/12</f>
        <v>5590.27777777773</v>
      </c>
      <c r="F144" s="22" t="n">
        <f aca="false">Assumptions!D6*Assumptions!D12/12</f>
        <v>5833.33333333333</v>
      </c>
      <c r="G144" s="22" t="n">
        <f aca="false">E144+F144</f>
        <v>11423.6111111111</v>
      </c>
      <c r="H144" s="22" t="n">
        <f aca="false">D144-F144</f>
        <v>2677499.99999998</v>
      </c>
      <c r="I144" s="22" t="n">
        <f aca="false">I143+E144</f>
        <v>908177.08333333</v>
      </c>
      <c r="J144" s="22" t="n">
        <f aca="false">J143+F144</f>
        <v>822500.000000001</v>
      </c>
    </row>
    <row r="145" customFormat="false" ht="15" hidden="false" customHeight="true" outlineLevel="0" collapsed="false">
      <c r="B145" s="49" t="n">
        <v>142</v>
      </c>
      <c r="C145" s="49" t="n">
        <v>12</v>
      </c>
      <c r="D145" s="24" t="n">
        <f aca="false">H144</f>
        <v>2677499.99999998</v>
      </c>
      <c r="E145" s="24" t="n">
        <f aca="false">D145*Assumptions!D10/12</f>
        <v>5578.12499999996</v>
      </c>
      <c r="F145" s="24" t="n">
        <f aca="false">Assumptions!D6*Assumptions!D12/12</f>
        <v>5833.33333333333</v>
      </c>
      <c r="G145" s="24" t="n">
        <f aca="false">E145+F145</f>
        <v>11411.4583333333</v>
      </c>
      <c r="H145" s="24" t="n">
        <f aca="false">D145-F145</f>
        <v>2671666.66666664</v>
      </c>
      <c r="I145" s="24" t="n">
        <f aca="false">I144+E145</f>
        <v>913755.20833333</v>
      </c>
      <c r="J145" s="24" t="n">
        <f aca="false">J144+F145</f>
        <v>828333.333333335</v>
      </c>
    </row>
    <row r="146" customFormat="false" ht="15" hidden="false" customHeight="true" outlineLevel="0" collapsed="false">
      <c r="B146" s="47" t="n">
        <v>143</v>
      </c>
      <c r="C146" s="47" t="n">
        <v>12</v>
      </c>
      <c r="D146" s="22" t="n">
        <f aca="false">H145</f>
        <v>2671666.66666664</v>
      </c>
      <c r="E146" s="22" t="n">
        <f aca="false">D146*Assumptions!D10/12</f>
        <v>5565.97222222218</v>
      </c>
      <c r="F146" s="22" t="n">
        <f aca="false">Assumptions!D6*Assumptions!D12/12</f>
        <v>5833.33333333333</v>
      </c>
      <c r="G146" s="22" t="n">
        <f aca="false">E146+F146</f>
        <v>11399.3055555555</v>
      </c>
      <c r="H146" s="22" t="n">
        <f aca="false">D146-F146</f>
        <v>2665833.33333331</v>
      </c>
      <c r="I146" s="22" t="n">
        <f aca="false">I145+E146</f>
        <v>919321.180555553</v>
      </c>
      <c r="J146" s="22" t="n">
        <f aca="false">J145+F146</f>
        <v>834166.666666668</v>
      </c>
    </row>
    <row r="147" customFormat="false" ht="15" hidden="false" customHeight="true" outlineLevel="0" collapsed="false">
      <c r="B147" s="49" t="n">
        <v>144</v>
      </c>
      <c r="C147" s="49" t="n">
        <v>12</v>
      </c>
      <c r="D147" s="24" t="n">
        <f aca="false">H146</f>
        <v>2665833.33333331</v>
      </c>
      <c r="E147" s="24" t="n">
        <f aca="false">D147*Assumptions!D10/12</f>
        <v>5553.8194444444</v>
      </c>
      <c r="F147" s="24" t="n">
        <f aca="false">Assumptions!D6*Assumptions!D12/12</f>
        <v>5833.33333333333</v>
      </c>
      <c r="G147" s="24" t="n">
        <f aca="false">E147+F147</f>
        <v>11387.1527777777</v>
      </c>
      <c r="H147" s="24" t="n">
        <f aca="false">D147-F147</f>
        <v>2659999.99999998</v>
      </c>
      <c r="I147" s="24" t="n">
        <f aca="false">I146+E147</f>
        <v>924874.999999997</v>
      </c>
      <c r="J147" s="24" t="n">
        <f aca="false">J146+F147</f>
        <v>840000.000000001</v>
      </c>
    </row>
    <row r="148" customFormat="false" ht="15" hidden="false" customHeight="true" outlineLevel="0" collapsed="false">
      <c r="B148" s="47" t="n">
        <v>145</v>
      </c>
      <c r="C148" s="47" t="n">
        <v>13</v>
      </c>
      <c r="D148" s="22" t="n">
        <f aca="false">H147</f>
        <v>2659999.99999998</v>
      </c>
      <c r="E148" s="22" t="n">
        <f aca="false">D148*Assumptions!D10/12</f>
        <v>5541.66666666662</v>
      </c>
      <c r="F148" s="22" t="n">
        <f aca="false">Assumptions!D6*Assumptions!D12/12</f>
        <v>5833.33333333333</v>
      </c>
      <c r="G148" s="22" t="n">
        <f aca="false">E148+F148</f>
        <v>11375</v>
      </c>
      <c r="H148" s="22" t="n">
        <f aca="false">D148-F148</f>
        <v>2654166.66666664</v>
      </c>
      <c r="I148" s="22" t="n">
        <f aca="false">I147+E148</f>
        <v>930416.666666664</v>
      </c>
      <c r="J148" s="22" t="n">
        <f aca="false">J147+F148</f>
        <v>845833.333333335</v>
      </c>
    </row>
    <row r="149" customFormat="false" ht="15" hidden="false" customHeight="true" outlineLevel="0" collapsed="false">
      <c r="B149" s="49" t="n">
        <v>146</v>
      </c>
      <c r="C149" s="49" t="n">
        <v>13</v>
      </c>
      <c r="D149" s="24" t="n">
        <f aca="false">H148</f>
        <v>2654166.66666664</v>
      </c>
      <c r="E149" s="24" t="n">
        <f aca="false">D149*Assumptions!D10/12</f>
        <v>5529.51388888884</v>
      </c>
      <c r="F149" s="24" t="n">
        <f aca="false">Assumptions!D6*Assumptions!D12/12</f>
        <v>5833.33333333333</v>
      </c>
      <c r="G149" s="24" t="n">
        <f aca="false">E149+F149</f>
        <v>11362.8472222222</v>
      </c>
      <c r="H149" s="24" t="n">
        <f aca="false">D149-F149</f>
        <v>2648333.33333331</v>
      </c>
      <c r="I149" s="24" t="n">
        <f aca="false">I148+E149</f>
        <v>935946.180555552</v>
      </c>
      <c r="J149" s="24" t="n">
        <f aca="false">J148+F149</f>
        <v>851666.666666668</v>
      </c>
    </row>
    <row r="150" customFormat="false" ht="15" hidden="false" customHeight="true" outlineLevel="0" collapsed="false">
      <c r="B150" s="47" t="n">
        <v>147</v>
      </c>
      <c r="C150" s="47" t="n">
        <v>13</v>
      </c>
      <c r="D150" s="22" t="n">
        <f aca="false">H149</f>
        <v>2648333.33333331</v>
      </c>
      <c r="E150" s="22" t="n">
        <f aca="false">D150*Assumptions!D10/12</f>
        <v>5517.36111111107</v>
      </c>
      <c r="F150" s="22" t="n">
        <f aca="false">Assumptions!D6*Assumptions!D12/12</f>
        <v>5833.33333333333</v>
      </c>
      <c r="G150" s="22" t="n">
        <f aca="false">E150+F150</f>
        <v>11350.6944444444</v>
      </c>
      <c r="H150" s="22" t="n">
        <f aca="false">D150-F150</f>
        <v>2642499.99999998</v>
      </c>
      <c r="I150" s="22" t="n">
        <f aca="false">I149+E150</f>
        <v>941463.541666663</v>
      </c>
      <c r="J150" s="22" t="n">
        <f aca="false">J149+F150</f>
        <v>857500.000000002</v>
      </c>
    </row>
    <row r="151" customFormat="false" ht="15" hidden="false" customHeight="true" outlineLevel="0" collapsed="false">
      <c r="B151" s="49" t="n">
        <v>148</v>
      </c>
      <c r="C151" s="49" t="n">
        <v>13</v>
      </c>
      <c r="D151" s="24" t="n">
        <f aca="false">H150</f>
        <v>2642499.99999998</v>
      </c>
      <c r="E151" s="24" t="n">
        <f aca="false">D151*Assumptions!D10/12</f>
        <v>5505.20833333329</v>
      </c>
      <c r="F151" s="24" t="n">
        <f aca="false">Assumptions!D6*Assumptions!D12/12</f>
        <v>5833.33333333333</v>
      </c>
      <c r="G151" s="24" t="n">
        <f aca="false">E151+F151</f>
        <v>11338.5416666666</v>
      </c>
      <c r="H151" s="24" t="n">
        <f aca="false">D151-F151</f>
        <v>2636666.66666664</v>
      </c>
      <c r="I151" s="24" t="n">
        <f aca="false">I150+E151</f>
        <v>946968.749999997</v>
      </c>
      <c r="J151" s="24" t="n">
        <f aca="false">J150+F151</f>
        <v>863333.333333335</v>
      </c>
    </row>
    <row r="152" customFormat="false" ht="15" hidden="false" customHeight="true" outlineLevel="0" collapsed="false">
      <c r="B152" s="47" t="n">
        <v>149</v>
      </c>
      <c r="C152" s="47" t="n">
        <v>13</v>
      </c>
      <c r="D152" s="22" t="n">
        <f aca="false">H151</f>
        <v>2636666.66666664</v>
      </c>
      <c r="E152" s="22" t="n">
        <f aca="false">D152*Assumptions!D10/12</f>
        <v>5493.05555555551</v>
      </c>
      <c r="F152" s="22" t="n">
        <f aca="false">Assumptions!D6*Assumptions!D12/12</f>
        <v>5833.33333333333</v>
      </c>
      <c r="G152" s="22" t="n">
        <f aca="false">E152+F152</f>
        <v>11326.3888888888</v>
      </c>
      <c r="H152" s="22" t="n">
        <f aca="false">D152-F152</f>
        <v>2630833.33333331</v>
      </c>
      <c r="I152" s="22" t="n">
        <f aca="false">I151+E152</f>
        <v>952461.805555552</v>
      </c>
      <c r="J152" s="22" t="n">
        <f aca="false">J151+F152</f>
        <v>869166.666666668</v>
      </c>
    </row>
    <row r="153" customFormat="false" ht="15" hidden="false" customHeight="true" outlineLevel="0" collapsed="false">
      <c r="B153" s="49" t="n">
        <v>150</v>
      </c>
      <c r="C153" s="49" t="n">
        <v>13</v>
      </c>
      <c r="D153" s="24" t="n">
        <f aca="false">H152</f>
        <v>2630833.33333331</v>
      </c>
      <c r="E153" s="24" t="n">
        <f aca="false">D153*Assumptions!D10/12</f>
        <v>5480.90277777773</v>
      </c>
      <c r="F153" s="24" t="n">
        <f aca="false">Assumptions!D6*Assumptions!D12/12</f>
        <v>5833.33333333333</v>
      </c>
      <c r="G153" s="24" t="n">
        <f aca="false">E153+F153</f>
        <v>11314.2361111111</v>
      </c>
      <c r="H153" s="24" t="n">
        <f aca="false">D153-F153</f>
        <v>2624999.99999998</v>
      </c>
      <c r="I153" s="24" t="n">
        <f aca="false">I152+E153</f>
        <v>957942.70833333</v>
      </c>
      <c r="J153" s="24" t="n">
        <f aca="false">J152+F153</f>
        <v>875000.000000002</v>
      </c>
    </row>
    <row r="154" customFormat="false" ht="15" hidden="false" customHeight="true" outlineLevel="0" collapsed="false">
      <c r="B154" s="47" t="n">
        <v>151</v>
      </c>
      <c r="C154" s="47" t="n">
        <v>13</v>
      </c>
      <c r="D154" s="22" t="n">
        <f aca="false">H153</f>
        <v>2624999.99999998</v>
      </c>
      <c r="E154" s="22" t="n">
        <f aca="false">D154*Assumptions!D10/12</f>
        <v>5468.74999999995</v>
      </c>
      <c r="F154" s="22" t="n">
        <f aca="false">Assumptions!D6*Assumptions!D12/12</f>
        <v>5833.33333333333</v>
      </c>
      <c r="G154" s="22" t="n">
        <f aca="false">E154+F154</f>
        <v>11302.0833333333</v>
      </c>
      <c r="H154" s="22" t="n">
        <f aca="false">D154-F154</f>
        <v>2619166.66666664</v>
      </c>
      <c r="I154" s="22" t="n">
        <f aca="false">I153+E154</f>
        <v>963411.45833333</v>
      </c>
      <c r="J154" s="22" t="n">
        <f aca="false">J153+F154</f>
        <v>880833.333333335</v>
      </c>
    </row>
    <row r="155" customFormat="false" ht="15" hidden="false" customHeight="true" outlineLevel="0" collapsed="false">
      <c r="B155" s="49" t="n">
        <v>152</v>
      </c>
      <c r="C155" s="49" t="n">
        <v>13</v>
      </c>
      <c r="D155" s="24" t="n">
        <f aca="false">H154</f>
        <v>2619166.66666664</v>
      </c>
      <c r="E155" s="24" t="n">
        <f aca="false">D155*Assumptions!D10/12</f>
        <v>5456.59722222217</v>
      </c>
      <c r="F155" s="24" t="n">
        <f aca="false">Assumptions!D6*Assumptions!D12/12</f>
        <v>5833.33333333333</v>
      </c>
      <c r="G155" s="24" t="n">
        <f aca="false">E155+F155</f>
        <v>11289.9305555555</v>
      </c>
      <c r="H155" s="24" t="n">
        <f aca="false">D155-F155</f>
        <v>2613333.33333331</v>
      </c>
      <c r="I155" s="24" t="n">
        <f aca="false">I154+E155</f>
        <v>968868.055555552</v>
      </c>
      <c r="J155" s="24" t="n">
        <f aca="false">J154+F155</f>
        <v>886666.666666668</v>
      </c>
    </row>
    <row r="156" customFormat="false" ht="15" hidden="false" customHeight="true" outlineLevel="0" collapsed="false">
      <c r="B156" s="47" t="n">
        <v>153</v>
      </c>
      <c r="C156" s="47" t="n">
        <v>13</v>
      </c>
      <c r="D156" s="22" t="n">
        <f aca="false">H155</f>
        <v>2613333.33333331</v>
      </c>
      <c r="E156" s="22" t="n">
        <f aca="false">D156*Assumptions!D10/12</f>
        <v>5444.4444444444</v>
      </c>
      <c r="F156" s="22" t="n">
        <f aca="false">Assumptions!D6*Assumptions!D12/12</f>
        <v>5833.33333333333</v>
      </c>
      <c r="G156" s="22" t="n">
        <f aca="false">E156+F156</f>
        <v>11277.7777777777</v>
      </c>
      <c r="H156" s="22" t="n">
        <f aca="false">D156-F156</f>
        <v>2607499.99999998</v>
      </c>
      <c r="I156" s="22" t="n">
        <f aca="false">I155+E156</f>
        <v>974312.499999996</v>
      </c>
      <c r="J156" s="22" t="n">
        <f aca="false">J155+F156</f>
        <v>892500.000000002</v>
      </c>
    </row>
    <row r="157" customFormat="false" ht="15" hidden="false" customHeight="true" outlineLevel="0" collapsed="false">
      <c r="B157" s="49" t="n">
        <v>154</v>
      </c>
      <c r="C157" s="49" t="n">
        <v>13</v>
      </c>
      <c r="D157" s="24" t="n">
        <f aca="false">H156</f>
        <v>2607499.99999998</v>
      </c>
      <c r="E157" s="24" t="n">
        <f aca="false">D157*Assumptions!D10/12</f>
        <v>5432.29166666662</v>
      </c>
      <c r="F157" s="24" t="n">
        <f aca="false">Assumptions!D6*Assumptions!D12/12</f>
        <v>5833.33333333333</v>
      </c>
      <c r="G157" s="24" t="n">
        <f aca="false">E157+F157</f>
        <v>11265.625</v>
      </c>
      <c r="H157" s="24" t="n">
        <f aca="false">D157-F157</f>
        <v>2601666.66666664</v>
      </c>
      <c r="I157" s="24" t="n">
        <f aca="false">I156+E157</f>
        <v>979744.791666663</v>
      </c>
      <c r="J157" s="24" t="n">
        <f aca="false">J156+F157</f>
        <v>898333.333333335</v>
      </c>
    </row>
    <row r="158" customFormat="false" ht="15" hidden="false" customHeight="true" outlineLevel="0" collapsed="false">
      <c r="B158" s="47" t="n">
        <v>155</v>
      </c>
      <c r="C158" s="47" t="n">
        <v>13</v>
      </c>
      <c r="D158" s="22" t="n">
        <f aca="false">H157</f>
        <v>2601666.66666664</v>
      </c>
      <c r="E158" s="22" t="n">
        <f aca="false">D158*Assumptions!D10/12</f>
        <v>5420.13888888884</v>
      </c>
      <c r="F158" s="22" t="n">
        <f aca="false">Assumptions!D6*Assumptions!D12/12</f>
        <v>5833.33333333333</v>
      </c>
      <c r="G158" s="22" t="n">
        <f aca="false">E158+F158</f>
        <v>11253.4722222222</v>
      </c>
      <c r="H158" s="22" t="n">
        <f aca="false">D158-F158</f>
        <v>2595833.33333331</v>
      </c>
      <c r="I158" s="22" t="n">
        <f aca="false">I157+E158</f>
        <v>985164.930555552</v>
      </c>
      <c r="J158" s="22" t="n">
        <f aca="false">J157+F158</f>
        <v>904166.666666669</v>
      </c>
    </row>
    <row r="159" customFormat="false" ht="15" hidden="false" customHeight="true" outlineLevel="0" collapsed="false">
      <c r="B159" s="49" t="n">
        <v>156</v>
      </c>
      <c r="C159" s="49" t="n">
        <v>13</v>
      </c>
      <c r="D159" s="24" t="n">
        <f aca="false">H158</f>
        <v>2595833.33333331</v>
      </c>
      <c r="E159" s="24" t="n">
        <f aca="false">D159*Assumptions!D10/12</f>
        <v>5407.98611111106</v>
      </c>
      <c r="F159" s="24" t="n">
        <f aca="false">Assumptions!D6*Assumptions!D12/12</f>
        <v>5833.33333333333</v>
      </c>
      <c r="G159" s="24" t="n">
        <f aca="false">E159+F159</f>
        <v>11241.3194444444</v>
      </c>
      <c r="H159" s="24" t="n">
        <f aca="false">D159-F159</f>
        <v>2589999.99999998</v>
      </c>
      <c r="I159" s="24" t="n">
        <f aca="false">I158+E159</f>
        <v>990572.916666663</v>
      </c>
      <c r="J159" s="24" t="n">
        <f aca="false">J158+F159</f>
        <v>910000.000000002</v>
      </c>
    </row>
    <row r="160" customFormat="false" ht="15" hidden="false" customHeight="true" outlineLevel="0" collapsed="false">
      <c r="B160" s="47" t="n">
        <v>157</v>
      </c>
      <c r="C160" s="47" t="n">
        <v>14</v>
      </c>
      <c r="D160" s="22" t="n">
        <f aca="false">H159</f>
        <v>2589999.99999998</v>
      </c>
      <c r="E160" s="22" t="n">
        <f aca="false">D160*Assumptions!D10/12</f>
        <v>5395.83333333328</v>
      </c>
      <c r="F160" s="22" t="n">
        <f aca="false">Assumptions!D6*Assumptions!D12/12</f>
        <v>5833.33333333333</v>
      </c>
      <c r="G160" s="22" t="n">
        <f aca="false">E160+F160</f>
        <v>11229.1666666666</v>
      </c>
      <c r="H160" s="22" t="n">
        <f aca="false">D160-F160</f>
        <v>2584166.66666664</v>
      </c>
      <c r="I160" s="22" t="n">
        <f aca="false">I159+E160</f>
        <v>995968.749999996</v>
      </c>
      <c r="J160" s="22" t="n">
        <f aca="false">J159+F160</f>
        <v>915833.333333335</v>
      </c>
    </row>
    <row r="161" customFormat="false" ht="15" hidden="false" customHeight="true" outlineLevel="0" collapsed="false">
      <c r="B161" s="49" t="n">
        <v>158</v>
      </c>
      <c r="C161" s="49" t="n">
        <v>14</v>
      </c>
      <c r="D161" s="24" t="n">
        <f aca="false">H160</f>
        <v>2584166.66666664</v>
      </c>
      <c r="E161" s="24" t="n">
        <f aca="false">D161*Assumptions!D10/12</f>
        <v>5383.68055555551</v>
      </c>
      <c r="F161" s="24" t="n">
        <f aca="false">Assumptions!D6*Assumptions!D12/12</f>
        <v>5833.33333333333</v>
      </c>
      <c r="G161" s="24" t="n">
        <f aca="false">E161+F161</f>
        <v>11217.0138888888</v>
      </c>
      <c r="H161" s="24" t="n">
        <f aca="false">D161-F161</f>
        <v>2578333.33333331</v>
      </c>
      <c r="I161" s="24" t="n">
        <f aca="false">I160+E161</f>
        <v>1001352.43055555</v>
      </c>
      <c r="J161" s="24" t="n">
        <f aca="false">J160+F161</f>
        <v>921666.666666669</v>
      </c>
    </row>
    <row r="162" customFormat="false" ht="15" hidden="false" customHeight="true" outlineLevel="0" collapsed="false">
      <c r="B162" s="47" t="n">
        <v>159</v>
      </c>
      <c r="C162" s="47" t="n">
        <v>14</v>
      </c>
      <c r="D162" s="22" t="n">
        <f aca="false">H161</f>
        <v>2578333.33333331</v>
      </c>
      <c r="E162" s="22" t="n">
        <f aca="false">D162*Assumptions!D10/12</f>
        <v>5371.52777777773</v>
      </c>
      <c r="F162" s="22" t="n">
        <f aca="false">Assumptions!D6*Assumptions!D12/12</f>
        <v>5833.33333333333</v>
      </c>
      <c r="G162" s="22" t="n">
        <f aca="false">E162+F162</f>
        <v>11204.8611111111</v>
      </c>
      <c r="H162" s="22" t="n">
        <f aca="false">D162-F162</f>
        <v>2572499.99999998</v>
      </c>
      <c r="I162" s="22" t="n">
        <f aca="false">I161+E162</f>
        <v>1006723.95833333</v>
      </c>
      <c r="J162" s="22" t="n">
        <f aca="false">J161+F162</f>
        <v>927500.000000002</v>
      </c>
    </row>
    <row r="163" customFormat="false" ht="15" hidden="false" customHeight="true" outlineLevel="0" collapsed="false">
      <c r="B163" s="49" t="n">
        <v>160</v>
      </c>
      <c r="C163" s="49" t="n">
        <v>14</v>
      </c>
      <c r="D163" s="24" t="n">
        <f aca="false">H162</f>
        <v>2572499.99999998</v>
      </c>
      <c r="E163" s="24" t="n">
        <f aca="false">D163*Assumptions!D10/12</f>
        <v>5359.37499999995</v>
      </c>
      <c r="F163" s="24" t="n">
        <f aca="false">Assumptions!D6*Assumptions!D12/12</f>
        <v>5833.33333333333</v>
      </c>
      <c r="G163" s="24" t="n">
        <f aca="false">E163+F163</f>
        <v>11192.7083333333</v>
      </c>
      <c r="H163" s="24" t="n">
        <f aca="false">D163-F163</f>
        <v>2566666.66666664</v>
      </c>
      <c r="I163" s="24" t="n">
        <f aca="false">I162+E163</f>
        <v>1012083.33333333</v>
      </c>
      <c r="J163" s="24" t="n">
        <f aca="false">J162+F163</f>
        <v>933333.333333335</v>
      </c>
    </row>
    <row r="164" customFormat="false" ht="15" hidden="false" customHeight="true" outlineLevel="0" collapsed="false">
      <c r="B164" s="47" t="n">
        <v>161</v>
      </c>
      <c r="C164" s="47" t="n">
        <v>14</v>
      </c>
      <c r="D164" s="22" t="n">
        <f aca="false">H163</f>
        <v>2566666.66666664</v>
      </c>
      <c r="E164" s="22" t="n">
        <f aca="false">D164*Assumptions!D10/12</f>
        <v>5347.22222222217</v>
      </c>
      <c r="F164" s="22" t="n">
        <f aca="false">Assumptions!D6*Assumptions!D12/12</f>
        <v>5833.33333333333</v>
      </c>
      <c r="G164" s="22" t="n">
        <f aca="false">E164+F164</f>
        <v>11180.5555555555</v>
      </c>
      <c r="H164" s="22" t="n">
        <f aca="false">D164-F164</f>
        <v>2560833.33333331</v>
      </c>
      <c r="I164" s="22" t="n">
        <f aca="false">I163+E164</f>
        <v>1017430.55555555</v>
      </c>
      <c r="J164" s="22" t="n">
        <f aca="false">J163+F164</f>
        <v>939166.666666669</v>
      </c>
    </row>
    <row r="165" customFormat="false" ht="15" hidden="false" customHeight="true" outlineLevel="0" collapsed="false">
      <c r="B165" s="49" t="n">
        <v>162</v>
      </c>
      <c r="C165" s="49" t="n">
        <v>14</v>
      </c>
      <c r="D165" s="24" t="n">
        <f aca="false">H164</f>
        <v>2560833.33333331</v>
      </c>
      <c r="E165" s="24" t="n">
        <f aca="false">D165*Assumptions!D10/12</f>
        <v>5335.06944444439</v>
      </c>
      <c r="F165" s="24" t="n">
        <f aca="false">Assumptions!D6*Assumptions!D12/12</f>
        <v>5833.33333333333</v>
      </c>
      <c r="G165" s="24" t="n">
        <f aca="false">E165+F165</f>
        <v>11168.4027777777</v>
      </c>
      <c r="H165" s="24" t="n">
        <f aca="false">D165-F165</f>
        <v>2554999.99999998</v>
      </c>
      <c r="I165" s="24" t="n">
        <f aca="false">I164+E165</f>
        <v>1022765.625</v>
      </c>
      <c r="J165" s="24" t="n">
        <f aca="false">J164+F165</f>
        <v>945000.000000002</v>
      </c>
    </row>
    <row r="166" customFormat="false" ht="15" hidden="false" customHeight="true" outlineLevel="0" collapsed="false">
      <c r="B166" s="47" t="n">
        <v>163</v>
      </c>
      <c r="C166" s="47" t="n">
        <v>14</v>
      </c>
      <c r="D166" s="22" t="n">
        <f aca="false">H165</f>
        <v>2554999.99999998</v>
      </c>
      <c r="E166" s="22" t="n">
        <f aca="false">D166*Assumptions!D10/12</f>
        <v>5322.91666666661</v>
      </c>
      <c r="F166" s="22" t="n">
        <f aca="false">Assumptions!D6*Assumptions!D12/12</f>
        <v>5833.33333333333</v>
      </c>
      <c r="G166" s="22" t="n">
        <f aca="false">E166+F166</f>
        <v>11156.2499999999</v>
      </c>
      <c r="H166" s="22" t="n">
        <f aca="false">D166-F166</f>
        <v>2549166.66666664</v>
      </c>
      <c r="I166" s="22" t="n">
        <f aca="false">I165+E166</f>
        <v>1028088.54166666</v>
      </c>
      <c r="J166" s="22" t="n">
        <f aca="false">J165+F166</f>
        <v>950833.333333336</v>
      </c>
    </row>
    <row r="167" customFormat="false" ht="15" hidden="false" customHeight="true" outlineLevel="0" collapsed="false">
      <c r="B167" s="49" t="n">
        <v>164</v>
      </c>
      <c r="C167" s="49" t="n">
        <v>14</v>
      </c>
      <c r="D167" s="24" t="n">
        <f aca="false">H166</f>
        <v>2549166.66666664</v>
      </c>
      <c r="E167" s="24" t="n">
        <f aca="false">D167*Assumptions!D10/12</f>
        <v>5310.76388888884</v>
      </c>
      <c r="F167" s="24" t="n">
        <f aca="false">Assumptions!D6*Assumptions!D12/12</f>
        <v>5833.33333333333</v>
      </c>
      <c r="G167" s="24" t="n">
        <f aca="false">E167+F167</f>
        <v>11144.0972222222</v>
      </c>
      <c r="H167" s="24" t="n">
        <f aca="false">D167-F167</f>
        <v>2543333.33333331</v>
      </c>
      <c r="I167" s="24" t="n">
        <f aca="false">I166+E167</f>
        <v>1033399.30555555</v>
      </c>
      <c r="J167" s="24" t="n">
        <f aca="false">J166+F167</f>
        <v>956666.666666669</v>
      </c>
    </row>
    <row r="168" customFormat="false" ht="15" hidden="false" customHeight="true" outlineLevel="0" collapsed="false">
      <c r="B168" s="47" t="n">
        <v>165</v>
      </c>
      <c r="C168" s="47" t="n">
        <v>14</v>
      </c>
      <c r="D168" s="22" t="n">
        <f aca="false">H167</f>
        <v>2543333.33333331</v>
      </c>
      <c r="E168" s="22" t="n">
        <f aca="false">D168*Assumptions!D10/12</f>
        <v>5298.61111111106</v>
      </c>
      <c r="F168" s="22" t="n">
        <f aca="false">Assumptions!D6*Assumptions!D12/12</f>
        <v>5833.33333333333</v>
      </c>
      <c r="G168" s="22" t="n">
        <f aca="false">E168+F168</f>
        <v>11131.9444444444</v>
      </c>
      <c r="H168" s="22" t="n">
        <f aca="false">D168-F168</f>
        <v>2537499.99999997</v>
      </c>
      <c r="I168" s="22" t="n">
        <f aca="false">I167+E168</f>
        <v>1038697.91666666</v>
      </c>
      <c r="J168" s="22" t="n">
        <f aca="false">J167+F168</f>
        <v>962500.000000002</v>
      </c>
    </row>
    <row r="169" customFormat="false" ht="15" hidden="false" customHeight="true" outlineLevel="0" collapsed="false">
      <c r="B169" s="49" t="n">
        <v>166</v>
      </c>
      <c r="C169" s="49" t="n">
        <v>14</v>
      </c>
      <c r="D169" s="24" t="n">
        <f aca="false">H168</f>
        <v>2537499.99999997</v>
      </c>
      <c r="E169" s="24" t="n">
        <f aca="false">D169*Assumptions!D10/12</f>
        <v>5286.45833333328</v>
      </c>
      <c r="F169" s="24" t="n">
        <f aca="false">Assumptions!D6*Assumptions!D12/12</f>
        <v>5833.33333333333</v>
      </c>
      <c r="G169" s="24" t="n">
        <f aca="false">E169+F169</f>
        <v>11119.7916666666</v>
      </c>
      <c r="H169" s="24" t="n">
        <f aca="false">D169-F169</f>
        <v>2531666.66666664</v>
      </c>
      <c r="I169" s="24" t="n">
        <f aca="false">I168+E169</f>
        <v>1043984.375</v>
      </c>
      <c r="J169" s="24" t="n">
        <f aca="false">J168+F169</f>
        <v>968333.333333336</v>
      </c>
    </row>
    <row r="170" customFormat="false" ht="15" hidden="false" customHeight="true" outlineLevel="0" collapsed="false">
      <c r="B170" s="47" t="n">
        <v>167</v>
      </c>
      <c r="C170" s="47" t="n">
        <v>14</v>
      </c>
      <c r="D170" s="22" t="n">
        <f aca="false">H169</f>
        <v>2531666.66666664</v>
      </c>
      <c r="E170" s="22" t="n">
        <f aca="false">D170*Assumptions!D10/12</f>
        <v>5274.3055555555</v>
      </c>
      <c r="F170" s="22" t="n">
        <f aca="false">Assumptions!D6*Assumptions!D12/12</f>
        <v>5833.33333333333</v>
      </c>
      <c r="G170" s="22" t="n">
        <f aca="false">E170+F170</f>
        <v>11107.6388888888</v>
      </c>
      <c r="H170" s="22" t="n">
        <f aca="false">D170-F170</f>
        <v>2525833.33333331</v>
      </c>
      <c r="I170" s="22" t="n">
        <f aca="false">I169+E170</f>
        <v>1049258.68055555</v>
      </c>
      <c r="J170" s="22" t="n">
        <f aca="false">J169+F170</f>
        <v>974166.666666669</v>
      </c>
    </row>
    <row r="171" customFormat="false" ht="15" hidden="false" customHeight="true" outlineLevel="0" collapsed="false">
      <c r="B171" s="49" t="n">
        <v>168</v>
      </c>
      <c r="C171" s="49" t="n">
        <v>14</v>
      </c>
      <c r="D171" s="24" t="n">
        <f aca="false">H170</f>
        <v>2525833.33333331</v>
      </c>
      <c r="E171" s="24" t="n">
        <f aca="false">D171*Assumptions!D10/12</f>
        <v>5262.15277777772</v>
      </c>
      <c r="F171" s="24" t="n">
        <f aca="false">Assumptions!D6*Assumptions!D12/12</f>
        <v>5833.33333333333</v>
      </c>
      <c r="G171" s="24" t="n">
        <f aca="false">E171+F171</f>
        <v>11095.4861111111</v>
      </c>
      <c r="H171" s="24" t="n">
        <f aca="false">D171-F171</f>
        <v>2519999.99999997</v>
      </c>
      <c r="I171" s="24" t="n">
        <f aca="false">I170+E171</f>
        <v>1054520.83333333</v>
      </c>
      <c r="J171" s="24" t="n">
        <f aca="false">J170+F171</f>
        <v>980000.000000002</v>
      </c>
    </row>
    <row r="172" customFormat="false" ht="15" hidden="false" customHeight="true" outlineLevel="0" collapsed="false">
      <c r="B172" s="47" t="n">
        <v>169</v>
      </c>
      <c r="C172" s="47" t="n">
        <v>15</v>
      </c>
      <c r="D172" s="22" t="n">
        <f aca="false">H171</f>
        <v>2519999.99999997</v>
      </c>
      <c r="E172" s="22" t="n">
        <f aca="false">D172*Assumptions!D10/12</f>
        <v>5249.99999999995</v>
      </c>
      <c r="F172" s="22" t="n">
        <f aca="false">Assumptions!D6*Assumptions!D12/12</f>
        <v>5833.33333333333</v>
      </c>
      <c r="G172" s="22" t="n">
        <f aca="false">E172+F172</f>
        <v>11083.3333333333</v>
      </c>
      <c r="H172" s="22" t="n">
        <f aca="false">D172-F172</f>
        <v>2514166.66666664</v>
      </c>
      <c r="I172" s="22" t="n">
        <f aca="false">I171+E172</f>
        <v>1059770.83333333</v>
      </c>
      <c r="J172" s="22" t="n">
        <f aca="false">J171+F172</f>
        <v>985833.333333336</v>
      </c>
    </row>
    <row r="173" customFormat="false" ht="15" hidden="false" customHeight="true" outlineLevel="0" collapsed="false">
      <c r="B173" s="49" t="n">
        <v>170</v>
      </c>
      <c r="C173" s="49" t="n">
        <v>15</v>
      </c>
      <c r="D173" s="24" t="n">
        <f aca="false">H172</f>
        <v>2514166.66666664</v>
      </c>
      <c r="E173" s="24" t="n">
        <f aca="false">D173*Assumptions!D10/12</f>
        <v>5237.84722222217</v>
      </c>
      <c r="F173" s="24" t="n">
        <f aca="false">Assumptions!D6*Assumptions!D12/12</f>
        <v>5833.33333333333</v>
      </c>
      <c r="G173" s="24" t="n">
        <f aca="false">E173+F173</f>
        <v>11071.1805555555</v>
      </c>
      <c r="H173" s="24" t="n">
        <f aca="false">D173-F173</f>
        <v>2508333.33333331</v>
      </c>
      <c r="I173" s="24" t="n">
        <f aca="false">I172+E173</f>
        <v>1065008.68055555</v>
      </c>
      <c r="J173" s="24" t="n">
        <f aca="false">J172+F173</f>
        <v>991666.666666669</v>
      </c>
    </row>
    <row r="174" customFormat="false" ht="15" hidden="false" customHeight="true" outlineLevel="0" collapsed="false">
      <c r="B174" s="47" t="n">
        <v>171</v>
      </c>
      <c r="C174" s="47" t="n">
        <v>15</v>
      </c>
      <c r="D174" s="22" t="n">
        <f aca="false">H173</f>
        <v>2508333.33333331</v>
      </c>
      <c r="E174" s="22" t="n">
        <f aca="false">D174*Assumptions!D10/12</f>
        <v>5225.69444444439</v>
      </c>
      <c r="F174" s="22" t="n">
        <f aca="false">Assumptions!D6*Assumptions!D12/12</f>
        <v>5833.33333333333</v>
      </c>
      <c r="G174" s="22" t="n">
        <f aca="false">E174+F174</f>
        <v>11059.0277777777</v>
      </c>
      <c r="H174" s="22" t="n">
        <f aca="false">D174-F174</f>
        <v>2502499.99999997</v>
      </c>
      <c r="I174" s="22" t="n">
        <f aca="false">I173+E174</f>
        <v>1070234.375</v>
      </c>
      <c r="J174" s="22" t="n">
        <f aca="false">J173+F174</f>
        <v>997500.000000002</v>
      </c>
    </row>
    <row r="175" customFormat="false" ht="15" hidden="false" customHeight="true" outlineLevel="0" collapsed="false">
      <c r="B175" s="49" t="n">
        <v>172</v>
      </c>
      <c r="C175" s="49" t="n">
        <v>15</v>
      </c>
      <c r="D175" s="24" t="n">
        <f aca="false">H174</f>
        <v>2502499.99999997</v>
      </c>
      <c r="E175" s="24" t="n">
        <f aca="false">D175*Assumptions!D10/12</f>
        <v>5213.54166666661</v>
      </c>
      <c r="F175" s="24" t="n">
        <f aca="false">Assumptions!D6*Assumptions!D12/12</f>
        <v>5833.33333333333</v>
      </c>
      <c r="G175" s="24" t="n">
        <f aca="false">E175+F175</f>
        <v>11046.8749999999</v>
      </c>
      <c r="H175" s="24" t="n">
        <f aca="false">D175-F175</f>
        <v>2496666.66666664</v>
      </c>
      <c r="I175" s="24" t="n">
        <f aca="false">I174+E175</f>
        <v>1075447.91666666</v>
      </c>
      <c r="J175" s="24" t="n">
        <f aca="false">J174+F175</f>
        <v>1003333.33333334</v>
      </c>
    </row>
    <row r="176" customFormat="false" ht="15" hidden="false" customHeight="true" outlineLevel="0" collapsed="false">
      <c r="B176" s="47" t="n">
        <v>173</v>
      </c>
      <c r="C176" s="47" t="n">
        <v>15</v>
      </c>
      <c r="D176" s="22" t="n">
        <f aca="false">H175</f>
        <v>2496666.66666664</v>
      </c>
      <c r="E176" s="22" t="n">
        <f aca="false">D176*Assumptions!D10/12</f>
        <v>5201.38888888883</v>
      </c>
      <c r="F176" s="22" t="n">
        <f aca="false">Assumptions!D6*Assumptions!D12/12</f>
        <v>5833.33333333333</v>
      </c>
      <c r="G176" s="22" t="n">
        <f aca="false">E176+F176</f>
        <v>11034.7222222222</v>
      </c>
      <c r="H176" s="22" t="n">
        <f aca="false">D176-F176</f>
        <v>2490833.33333331</v>
      </c>
      <c r="I176" s="22" t="n">
        <f aca="false">I175+E176</f>
        <v>1080649.30555555</v>
      </c>
      <c r="J176" s="22" t="n">
        <f aca="false">J175+F176</f>
        <v>1009166.66666667</v>
      </c>
    </row>
    <row r="177" customFormat="false" ht="15" hidden="false" customHeight="true" outlineLevel="0" collapsed="false">
      <c r="B177" s="49" t="n">
        <v>174</v>
      </c>
      <c r="C177" s="49" t="n">
        <v>15</v>
      </c>
      <c r="D177" s="24" t="n">
        <f aca="false">H176</f>
        <v>2490833.33333331</v>
      </c>
      <c r="E177" s="24" t="n">
        <f aca="false">D177*Assumptions!D10/12</f>
        <v>5189.23611111106</v>
      </c>
      <c r="F177" s="24" t="n">
        <f aca="false">Assumptions!D6*Assumptions!D12/12</f>
        <v>5833.33333333333</v>
      </c>
      <c r="G177" s="24" t="n">
        <f aca="false">E177+F177</f>
        <v>11022.5694444444</v>
      </c>
      <c r="H177" s="24" t="n">
        <f aca="false">D177-F177</f>
        <v>2484999.99999997</v>
      </c>
      <c r="I177" s="24" t="n">
        <f aca="false">I176+E177</f>
        <v>1085838.54166666</v>
      </c>
      <c r="J177" s="24" t="n">
        <f aca="false">J176+F177</f>
        <v>1015000</v>
      </c>
    </row>
    <row r="178" customFormat="false" ht="15" hidden="false" customHeight="true" outlineLevel="0" collapsed="false">
      <c r="B178" s="47" t="n">
        <v>175</v>
      </c>
      <c r="C178" s="47" t="n">
        <v>15</v>
      </c>
      <c r="D178" s="22" t="n">
        <f aca="false">H177</f>
        <v>2484999.99999997</v>
      </c>
      <c r="E178" s="22" t="n">
        <f aca="false">D178*Assumptions!D10/12</f>
        <v>5177.08333333328</v>
      </c>
      <c r="F178" s="22" t="n">
        <f aca="false">Assumptions!D6*Assumptions!D12/12</f>
        <v>5833.33333333333</v>
      </c>
      <c r="G178" s="22" t="n">
        <f aca="false">E178+F178</f>
        <v>11010.4166666666</v>
      </c>
      <c r="H178" s="22" t="n">
        <f aca="false">D178-F178</f>
        <v>2479166.66666664</v>
      </c>
      <c r="I178" s="22" t="n">
        <f aca="false">I177+E178</f>
        <v>1091015.625</v>
      </c>
      <c r="J178" s="22" t="n">
        <f aca="false">J177+F178</f>
        <v>1020833.33333334</v>
      </c>
    </row>
    <row r="179" customFormat="false" ht="15" hidden="false" customHeight="true" outlineLevel="0" collapsed="false">
      <c r="B179" s="49" t="n">
        <v>176</v>
      </c>
      <c r="C179" s="49" t="n">
        <v>15</v>
      </c>
      <c r="D179" s="24" t="n">
        <f aca="false">H178</f>
        <v>2479166.66666664</v>
      </c>
      <c r="E179" s="24" t="n">
        <f aca="false">D179*Assumptions!D10/12</f>
        <v>5164.9305555555</v>
      </c>
      <c r="F179" s="24" t="n">
        <f aca="false">Assumptions!D6*Assumptions!D12/12</f>
        <v>5833.33333333333</v>
      </c>
      <c r="G179" s="24" t="n">
        <f aca="false">E179+F179</f>
        <v>10998.2638888888</v>
      </c>
      <c r="H179" s="24" t="n">
        <f aca="false">D179-F179</f>
        <v>2473333.33333331</v>
      </c>
      <c r="I179" s="24" t="n">
        <f aca="false">I178+E179</f>
        <v>1096180.55555555</v>
      </c>
      <c r="J179" s="24" t="n">
        <f aca="false">J178+F179</f>
        <v>1026666.66666667</v>
      </c>
    </row>
    <row r="180" customFormat="false" ht="15" hidden="false" customHeight="true" outlineLevel="0" collapsed="false">
      <c r="B180" s="47" t="n">
        <v>177</v>
      </c>
      <c r="C180" s="47" t="n">
        <v>15</v>
      </c>
      <c r="D180" s="22" t="n">
        <f aca="false">H179</f>
        <v>2473333.33333331</v>
      </c>
      <c r="E180" s="22" t="n">
        <f aca="false">D180*Assumptions!D10/12</f>
        <v>5152.77777777772</v>
      </c>
      <c r="F180" s="22" t="n">
        <f aca="false">Assumptions!D6*Assumptions!D12/12</f>
        <v>5833.33333333333</v>
      </c>
      <c r="G180" s="22" t="n">
        <f aca="false">E180+F180</f>
        <v>10986.1111111111</v>
      </c>
      <c r="H180" s="22" t="n">
        <f aca="false">D180-F180</f>
        <v>2467499.99999997</v>
      </c>
      <c r="I180" s="22" t="n">
        <f aca="false">I179+E180</f>
        <v>1101333.33333333</v>
      </c>
      <c r="J180" s="22" t="n">
        <f aca="false">J179+F180</f>
        <v>1032500</v>
      </c>
    </row>
    <row r="181" customFormat="false" ht="15" hidden="false" customHeight="true" outlineLevel="0" collapsed="false">
      <c r="B181" s="49" t="n">
        <v>178</v>
      </c>
      <c r="C181" s="49" t="n">
        <v>15</v>
      </c>
      <c r="D181" s="24" t="n">
        <f aca="false">H180</f>
        <v>2467499.99999997</v>
      </c>
      <c r="E181" s="24" t="n">
        <f aca="false">D181*Assumptions!D10/12</f>
        <v>5140.62499999994</v>
      </c>
      <c r="F181" s="24" t="n">
        <f aca="false">Assumptions!D6*Assumptions!D12/12</f>
        <v>5833.33333333333</v>
      </c>
      <c r="G181" s="24" t="n">
        <f aca="false">E181+F181</f>
        <v>10973.9583333333</v>
      </c>
      <c r="H181" s="24" t="n">
        <f aca="false">D181-F181</f>
        <v>2461666.66666664</v>
      </c>
      <c r="I181" s="24" t="n">
        <f aca="false">I180+E181</f>
        <v>1106473.95833333</v>
      </c>
      <c r="J181" s="24" t="n">
        <f aca="false">J180+F181</f>
        <v>1038333.33333334</v>
      </c>
    </row>
    <row r="182" customFormat="false" ht="15" hidden="false" customHeight="true" outlineLevel="0" collapsed="false">
      <c r="B182" s="47" t="n">
        <v>179</v>
      </c>
      <c r="C182" s="47" t="n">
        <v>15</v>
      </c>
      <c r="D182" s="22" t="n">
        <f aca="false">H181</f>
        <v>2461666.66666664</v>
      </c>
      <c r="E182" s="22" t="n">
        <f aca="false">D182*Assumptions!D10/12</f>
        <v>5128.47222222217</v>
      </c>
      <c r="F182" s="22" t="n">
        <f aca="false">Assumptions!D6*Assumptions!D12/12</f>
        <v>5833.33333333333</v>
      </c>
      <c r="G182" s="22" t="n">
        <f aca="false">E182+F182</f>
        <v>10961.8055555555</v>
      </c>
      <c r="H182" s="22" t="n">
        <f aca="false">D182-F182</f>
        <v>2455833.33333331</v>
      </c>
      <c r="I182" s="22" t="n">
        <f aca="false">I181+E182</f>
        <v>1111602.43055555</v>
      </c>
      <c r="J182" s="22" t="n">
        <f aca="false">J181+F182</f>
        <v>1044166.66666667</v>
      </c>
    </row>
    <row r="183" customFormat="false" ht="15" hidden="false" customHeight="true" outlineLevel="0" collapsed="false">
      <c r="B183" s="49" t="n">
        <v>180</v>
      </c>
      <c r="C183" s="49" t="n">
        <v>15</v>
      </c>
      <c r="D183" s="24" t="n">
        <f aca="false">H182</f>
        <v>2455833.33333331</v>
      </c>
      <c r="E183" s="24" t="n">
        <f aca="false">D183*Assumptions!D10/12</f>
        <v>5116.31944444439</v>
      </c>
      <c r="F183" s="24" t="n">
        <f aca="false">Assumptions!D6*Assumptions!D12/12</f>
        <v>5833.33333333333</v>
      </c>
      <c r="G183" s="24" t="n">
        <f aca="false">E183+F183</f>
        <v>10949.6527777777</v>
      </c>
      <c r="H183" s="24" t="n">
        <f aca="false">D183-F183</f>
        <v>2449999.99999997</v>
      </c>
      <c r="I183" s="24" t="n">
        <f aca="false">I182+E183</f>
        <v>1116718.75</v>
      </c>
      <c r="J183" s="24" t="n">
        <f aca="false">J182+F183</f>
        <v>1050000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50"/>
  </cols>
  <sheetData>
    <row r="1" customFormat="false" ht="30" hidden="false" customHeight="true" outlineLevel="0" collapsed="false">
      <c r="A1" s="18" t="s">
        <v>126</v>
      </c>
      <c r="B1" s="18"/>
      <c r="C1" s="18"/>
      <c r="D1" s="18"/>
      <c r="E1" s="18"/>
      <c r="F1" s="18"/>
      <c r="G1" s="18"/>
    </row>
    <row r="3" customFormat="false" ht="15" hidden="false" customHeight="false" outlineLevel="0" collapsed="false">
      <c r="B3" s="50" t="s">
        <v>127</v>
      </c>
      <c r="C3" s="20" t="s">
        <v>128</v>
      </c>
      <c r="D3" s="20" t="s">
        <v>129</v>
      </c>
      <c r="E3" s="50" t="s">
        <v>130</v>
      </c>
    </row>
    <row r="4" customFormat="false" ht="16.5" hidden="false" customHeight="true" outlineLevel="0" collapsed="false">
      <c r="B4" s="51" t="s">
        <v>131</v>
      </c>
      <c r="C4" s="52" t="s">
        <v>132</v>
      </c>
      <c r="D4" s="38" t="s">
        <v>133</v>
      </c>
      <c r="E4" s="38" t="s">
        <v>134</v>
      </c>
    </row>
    <row r="5" customFormat="false" ht="16.5" hidden="false" customHeight="true" outlineLevel="0" collapsed="false">
      <c r="B5" s="53" t="s">
        <v>135</v>
      </c>
      <c r="C5" s="54" t="s">
        <v>136</v>
      </c>
      <c r="D5" s="39" t="s">
        <v>133</v>
      </c>
      <c r="E5" s="39" t="s">
        <v>137</v>
      </c>
    </row>
    <row r="6" customFormat="false" ht="16.5" hidden="false" customHeight="true" outlineLevel="0" collapsed="false">
      <c r="B6" s="51" t="s">
        <v>138</v>
      </c>
      <c r="C6" s="52" t="s">
        <v>139</v>
      </c>
      <c r="D6" s="38" t="s">
        <v>140</v>
      </c>
      <c r="E6" s="38" t="s">
        <v>141</v>
      </c>
    </row>
    <row r="7" customFormat="false" ht="16.5" hidden="false" customHeight="true" outlineLevel="0" collapsed="false">
      <c r="B7" s="53" t="s">
        <v>142</v>
      </c>
      <c r="C7" s="54" t="s">
        <v>143</v>
      </c>
      <c r="D7" s="39" t="s">
        <v>140</v>
      </c>
      <c r="E7" s="39" t="s">
        <v>144</v>
      </c>
    </row>
    <row r="8" customFormat="false" ht="16.5" hidden="false" customHeight="true" outlineLevel="0" collapsed="false">
      <c r="B8" s="51" t="s">
        <v>145</v>
      </c>
      <c r="C8" s="52" t="s">
        <v>146</v>
      </c>
      <c r="D8" s="38" t="s">
        <v>140</v>
      </c>
      <c r="E8" s="38" t="s">
        <v>147</v>
      </c>
    </row>
    <row r="9" customFormat="false" ht="16.5" hidden="false" customHeight="true" outlineLevel="0" collapsed="false">
      <c r="B9" s="53" t="s">
        <v>148</v>
      </c>
      <c r="C9" s="54" t="s">
        <v>149</v>
      </c>
      <c r="D9" s="39" t="s">
        <v>150</v>
      </c>
      <c r="E9" s="39" t="s">
        <v>151</v>
      </c>
    </row>
    <row r="10" customFormat="false" ht="16.5" hidden="false" customHeight="true" outlineLevel="0" collapsed="false">
      <c r="B10" s="51" t="s">
        <v>152</v>
      </c>
      <c r="C10" s="52" t="s">
        <v>153</v>
      </c>
      <c r="D10" s="38"/>
      <c r="E10" s="38" t="s">
        <v>154</v>
      </c>
    </row>
    <row r="11" customFormat="false" ht="16.5" hidden="false" customHeight="true" outlineLevel="0" collapsed="false">
      <c r="B11" s="53" t="s">
        <v>155</v>
      </c>
      <c r="C11" s="54" t="s">
        <v>156</v>
      </c>
      <c r="D11" s="39"/>
      <c r="E11" s="39" t="s">
        <v>157</v>
      </c>
    </row>
    <row r="12" customFormat="false" ht="16.5" hidden="false" customHeight="true" outlineLevel="0" collapsed="false">
      <c r="B12" s="51" t="s">
        <v>158</v>
      </c>
      <c r="C12" s="52" t="s">
        <v>159</v>
      </c>
      <c r="D12" s="38"/>
      <c r="E12" s="38" t="s">
        <v>160</v>
      </c>
    </row>
    <row r="13" customFormat="false" ht="16.5" hidden="false" customHeight="true" outlineLevel="0" collapsed="false">
      <c r="B13" s="53" t="s">
        <v>161</v>
      </c>
      <c r="C13" s="54" t="s">
        <v>162</v>
      </c>
      <c r="D13" s="39" t="s">
        <v>163</v>
      </c>
      <c r="E13" s="39" t="s">
        <v>164</v>
      </c>
    </row>
    <row r="14" customFormat="false" ht="16.5" hidden="false" customHeight="true" outlineLevel="0" collapsed="false">
      <c r="B14" s="51" t="s">
        <v>165</v>
      </c>
      <c r="C14" s="52" t="s">
        <v>166</v>
      </c>
      <c r="D14" s="38"/>
      <c r="E14" s="38" t="s">
        <v>167</v>
      </c>
    </row>
    <row r="15" customFormat="false" ht="16.5" hidden="false" customHeight="true" outlineLevel="0" collapsed="false">
      <c r="B15" s="53" t="s">
        <v>168</v>
      </c>
      <c r="C15" s="54" t="s">
        <v>169</v>
      </c>
      <c r="D15" s="39"/>
      <c r="E15" s="39" t="s">
        <v>167</v>
      </c>
    </row>
    <row r="16" customFormat="false" ht="16.5" hidden="false" customHeight="true" outlineLevel="0" collapsed="false">
      <c r="B16" s="51" t="s">
        <v>170</v>
      </c>
      <c r="C16" s="52" t="s">
        <v>171</v>
      </c>
      <c r="D16" s="38" t="s">
        <v>172</v>
      </c>
      <c r="E16" s="38" t="s">
        <v>173</v>
      </c>
    </row>
    <row r="17" customFormat="false" ht="16.5" hidden="false" customHeight="true" outlineLevel="0" collapsed="false">
      <c r="B17" s="53" t="s">
        <v>174</v>
      </c>
      <c r="C17" s="54" t="s">
        <v>175</v>
      </c>
      <c r="D17" s="39" t="s">
        <v>176</v>
      </c>
      <c r="E17" s="39" t="s">
        <v>177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2026-03-29T08:09:01Z</dcterms:created>
  <dc:creator>openpyxl</dc:creator>
  <dc:description/>
  <dc:language>en-US</dc:language>
  <cp:lastModifiedBy/>
  <dcterms:modified xsi:type="dcterms:W3CDTF">2026-03-29T08:09:01Z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